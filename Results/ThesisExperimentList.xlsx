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S_BSU\SLFA_Julia\ThesisExperiments\BradenKingThesis\Results\"/>
    </mc:Choice>
  </mc:AlternateContent>
  <xr:revisionPtr revIDLastSave="0" documentId="13_ncr:1_{25A25383-BAB9-4C08-BC5E-C31844334BD8}" xr6:coauthVersionLast="47" xr6:coauthVersionMax="47" xr10:uidLastSave="{00000000-0000-0000-0000-000000000000}"/>
  <bookViews>
    <workbookView xWindow="-110" yWindow="-110" windowWidth="38620" windowHeight="21220" firstSheet="1" activeTab="2" xr2:uid="{C4202BFB-F5A2-4916-9270-58B282AAFCCC}"/>
  </bookViews>
  <sheets>
    <sheet name="Sheet1" sheetId="1" r:id="rId1"/>
    <sheet name="Sheet2" sheetId="2" r:id="rId2"/>
    <sheet name="TimeResults" sheetId="3" r:id="rId3"/>
    <sheet name="Sheet5" sheetId="5" r:id="rId4"/>
    <sheet name="Sheet4" sheetId="4" r:id="rId5"/>
    <sheet name="Sheet6" sheetId="6" r:id="rId6"/>
  </sheets>
  <calcPr calcId="191029"/>
  <pivotCaches>
    <pivotCache cacheId="5" r:id="rId7"/>
    <pivotCache cacheId="15" r:id="rId8"/>
    <pivotCache cacheId="2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2" i="2"/>
</calcChain>
</file>

<file path=xl/sharedStrings.xml><?xml version="1.0" encoding="utf-8"?>
<sst xmlns="http://schemas.openxmlformats.org/spreadsheetml/2006/main" count="587" uniqueCount="69">
  <si>
    <t>1D Shape</t>
  </si>
  <si>
    <t>Experiment Name</t>
  </si>
  <si>
    <t>Solver Type</t>
  </si>
  <si>
    <t>ω</t>
  </si>
  <si>
    <t>Noise (%)</t>
  </si>
  <si>
    <t>Asymmetric RBF</t>
  </si>
  <si>
    <t>Regular Sine</t>
  </si>
  <si>
    <t>Step Function</t>
  </si>
  <si>
    <t>SinE</t>
  </si>
  <si>
    <t>Composite Sines</t>
  </si>
  <si>
    <t>Notes</t>
  </si>
  <si>
    <t>Date</t>
  </si>
  <si>
    <t>Result</t>
  </si>
  <si>
    <t>N</t>
  </si>
  <si>
    <t>Nelder-Mead</t>
  </si>
  <si>
    <t>Curve-Fit (LSQ)</t>
  </si>
  <si>
    <t>LBFGS</t>
  </si>
  <si>
    <t>Monotonicity</t>
  </si>
  <si>
    <t>Strict</t>
  </si>
  <si>
    <t>NonStrict</t>
  </si>
  <si>
    <t>Asym_05_NM_St_0_50</t>
  </si>
  <si>
    <t>Conjugate Gradient</t>
  </si>
  <si>
    <t>Gradient Descent</t>
  </si>
  <si>
    <t>Time</t>
  </si>
  <si>
    <t>GGAP</t>
  </si>
  <si>
    <t>MRAN</t>
  </si>
  <si>
    <t>RANEKF</t>
  </si>
  <si>
    <t>SVR</t>
  </si>
  <si>
    <t>RAN</t>
  </si>
  <si>
    <t>I-ELM</t>
  </si>
  <si>
    <t>CI-ELM</t>
  </si>
  <si>
    <t>EI-ELM</t>
  </si>
  <si>
    <t>ErrCorr</t>
  </si>
  <si>
    <t>Test Time</t>
  </si>
  <si>
    <t>Total Nodes?</t>
  </si>
  <si>
    <t>Something Wrong Here</t>
  </si>
  <si>
    <t>Problem</t>
  </si>
  <si>
    <t>Data Type</t>
  </si>
  <si>
    <t>Solver</t>
  </si>
  <si>
    <t>clean</t>
  </si>
  <si>
    <t>LSQ</t>
  </si>
  <si>
    <t>CG</t>
  </si>
  <si>
    <t>GD</t>
  </si>
  <si>
    <t>IG</t>
  </si>
  <si>
    <t>noisy</t>
  </si>
  <si>
    <t>AsymmetricRBF</t>
  </si>
  <si>
    <t>Step</t>
  </si>
  <si>
    <t>Sine</t>
  </si>
  <si>
    <t>Composite Sine</t>
  </si>
  <si>
    <t>Sin E</t>
  </si>
  <si>
    <t>Sum</t>
  </si>
  <si>
    <t>Average</t>
  </si>
  <si>
    <t>Running Total</t>
  </si>
  <si>
    <t>Count</t>
  </si>
  <si>
    <t>Column1</t>
  </si>
  <si>
    <t>Row Labels</t>
  </si>
  <si>
    <t>Grand Total</t>
  </si>
  <si>
    <t>Average of Time</t>
  </si>
  <si>
    <t>NM</t>
  </si>
  <si>
    <t xml:space="preserve">RMSE </t>
  </si>
  <si>
    <t>Max Error</t>
  </si>
  <si>
    <t>Bound Error</t>
  </si>
  <si>
    <t>Noisy</t>
  </si>
  <si>
    <t>Clean/Noisy</t>
  </si>
  <si>
    <t>Clean</t>
  </si>
  <si>
    <t xml:space="preserve">Average of RMSE </t>
  </si>
  <si>
    <t>Average of Max Error</t>
  </si>
  <si>
    <t>Average of Bound Error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</si>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</sst>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6" formatCode="0.0000"/>
  </numFmts>
  <fonts count="4" x14ac:knownFonts="1">
    <font>
      <sz val="11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b/>
      <u/>
      <sz val="12"/>
      <color theme="1"/>
      <name val="Aptos Narrow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/>
        <bgColor theme="6"/>
      </patternFill>
    </fill>
  </fills>
  <borders count="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9" fontId="0" fillId="0" borderId="0" xfId="0" applyNumberFormat="1"/>
    <xf numFmtId="164" fontId="0" fillId="0" borderId="0" xfId="0" applyNumberFormat="1"/>
    <xf numFmtId="0" fontId="0" fillId="2" borderId="1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1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3" borderId="1" xfId="0" applyFont="1" applyFill="1" applyBorder="1"/>
    <xf numFmtId="0" fontId="3" fillId="4" borderId="0" xfId="0" applyFont="1" applyFill="1" applyBorder="1"/>
    <xf numFmtId="0" fontId="3" fillId="4" borderId="3" xfId="0" applyFont="1" applyFill="1" applyBorder="1"/>
    <xf numFmtId="0" fontId="0" fillId="3" borderId="4" xfId="0" applyFont="1" applyFill="1" applyBorder="1"/>
    <xf numFmtId="0" fontId="0" fillId="3" borderId="2" xfId="0" applyFont="1" applyFill="1" applyBorder="1"/>
    <xf numFmtId="2" fontId="0" fillId="3" borderId="2" xfId="0" applyNumberFormat="1" applyFont="1" applyFill="1" applyBorder="1"/>
    <xf numFmtId="11" fontId="0" fillId="3" borderId="2" xfId="0" applyNumberFormat="1" applyFont="1" applyFill="1" applyBorder="1"/>
    <xf numFmtId="0" fontId="0" fillId="2" borderId="5" xfId="0" applyFont="1" applyFill="1" applyBorder="1"/>
    <xf numFmtId="2" fontId="0" fillId="2" borderId="1" xfId="0" applyNumberFormat="1" applyFont="1" applyFill="1" applyBorder="1"/>
    <xf numFmtId="11" fontId="0" fillId="2" borderId="1" xfId="0" applyNumberFormat="1" applyFont="1" applyFill="1" applyBorder="1"/>
    <xf numFmtId="0" fontId="0" fillId="3" borderId="5" xfId="0" applyFont="1" applyFill="1" applyBorder="1"/>
    <xf numFmtId="2" fontId="0" fillId="3" borderId="1" xfId="0" applyNumberFormat="1" applyFont="1" applyFill="1" applyBorder="1"/>
    <xf numFmtId="11" fontId="0" fillId="3" borderId="1" xfId="0" applyNumberFormat="1" applyFont="1" applyFill="1" applyBorder="1"/>
  </cellXfs>
  <cellStyles count="1">
    <cellStyle name="Normal" xfId="0" builtinId="0"/>
  </cellStyles>
  <dxfs count="37"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5" formatCode="0.0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5" formatCode="0.00E+00"/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5" formatCode="0.00E+00"/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5" formatCode="0.00E+00"/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numFmt numFmtId="13" formatCode="0%"/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/>
        <name val="Aptos Narrow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16</xdr:row>
      <xdr:rowOff>171450</xdr:rowOff>
    </xdr:from>
    <xdr:to>
      <xdr:col>14</xdr:col>
      <xdr:colOff>305897</xdr:colOff>
      <xdr:row>35</xdr:row>
      <xdr:rowOff>38976</xdr:rowOff>
    </xdr:to>
    <xdr:pic>
      <xdr:nvPicPr>
        <xdr:cNvPr id="2" name="Content Placeholder 14" descr="A graph with numbers and symbols&#10;&#10;AI-generated content may be incorrect.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Grp="1"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33925" y="3067050"/>
          <a:ext cx="4334972" cy="330605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2</xdr:row>
          <xdr:rowOff>152400</xdr:rowOff>
        </xdr:from>
        <xdr:to>
          <xdr:col>13</xdr:col>
          <xdr:colOff>450850</xdr:colOff>
          <xdr:row>16</xdr:row>
          <xdr:rowOff>31750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aden" refreshedDate="46216.167976620367" createdVersion="8" refreshedVersion="8" minRefreshableVersion="3" recordCount="50" xr:uid="{7739753F-D0A8-49BF-82D7-16FBFCAD70CE}">
  <cacheSource type="worksheet">
    <worksheetSource ref="A1:G61" sheet="TimeResults"/>
  </cacheSource>
  <cacheFields count="4">
    <cacheField name="Problem" numFmtId="0">
      <sharedItems count="5">
        <s v="AsymmetricRBF"/>
        <s v="Composite Sine"/>
        <s v="Sin E"/>
        <s v="Sine"/>
        <s v="Step"/>
      </sharedItems>
    </cacheField>
    <cacheField name="Data Type" numFmtId="0">
      <sharedItems/>
    </cacheField>
    <cacheField name="Solver" numFmtId="0">
      <sharedItems/>
    </cacheField>
    <cacheField name="Time" numFmtId="0">
      <sharedItems containsSemiMixedTypes="0" containsString="0" containsNumber="1" minValue="6.8042199999999997E-2" maxValue="70.88179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aden" refreshedDate="46216.168284375002" createdVersion="8" refreshedVersion="8" minRefreshableVersion="3" recordCount="50" xr:uid="{ED65F6BD-5FDD-40DC-BE08-FDCF63EBA867}">
  <cacheSource type="worksheet">
    <worksheetSource ref="A1:G61" sheet="TimeResults"/>
  </cacheSource>
  <cacheFields count="4">
    <cacheField name="Problem" numFmtId="0">
      <sharedItems count="5">
        <s v="AsymmetricRBF"/>
        <s v="Composite Sine"/>
        <s v="Sin E"/>
        <s v="Sine"/>
        <s v="Step"/>
      </sharedItems>
    </cacheField>
    <cacheField name="Data Type" numFmtId="0">
      <sharedItems count="2">
        <s v="clean"/>
        <s v="noisy"/>
      </sharedItems>
    </cacheField>
    <cacheField name="Solver" numFmtId="0">
      <sharedItems count="5">
        <s v="CG"/>
        <s v="GD"/>
        <s v="IG"/>
        <s v="LBFGS"/>
        <s v="LSQ"/>
      </sharedItems>
    </cacheField>
    <cacheField name="Time" numFmtId="0">
      <sharedItems containsSemiMixedTypes="0" containsString="0" containsNumber="1" minValue="6.8042199999999997E-2" maxValue="70.88179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aden" refreshedDate="46216.254153009257" createdVersion="8" refreshedVersion="8" minRefreshableVersion="3" recordCount="60" xr:uid="{77065337-E71E-4C1F-852F-A31D2F5498FD}">
  <cacheSource type="worksheet">
    <worksheetSource name="Table3"/>
  </cacheSource>
  <cacheFields count="7">
    <cacheField name="Problem" numFmtId="0">
      <sharedItems count="5">
        <s v="AsymmetricRBF"/>
        <s v="Composite Sine"/>
        <s v="Sin E"/>
        <s v="Sine"/>
        <s v="Step"/>
      </sharedItems>
    </cacheField>
    <cacheField name="Data Type" numFmtId="0">
      <sharedItems count="2">
        <s v="clean"/>
        <s v="noisy"/>
      </sharedItems>
    </cacheField>
    <cacheField name="Solver" numFmtId="0">
      <sharedItems count="6">
        <s v="CG"/>
        <s v="GD"/>
        <s v="IG"/>
        <s v="LBFGS"/>
        <s v="LSQ"/>
        <s v="NM"/>
      </sharedItems>
    </cacheField>
    <cacheField name="Time" numFmtId="2">
      <sharedItems containsSemiMixedTypes="0" containsString="0" containsNumber="1" minValue="6.8042199999999997E-2" maxValue="70.881799999999998"/>
    </cacheField>
    <cacheField name="RMSE " numFmtId="11">
      <sharedItems containsSemiMixedTypes="0" containsString="0" containsNumber="1" minValue="7.4497472269780495E-5" maxValue="2.4102050946459301"/>
    </cacheField>
    <cacheField name="Max Error" numFmtId="11">
      <sharedItems containsSemiMixedTypes="0" containsString="0" containsNumber="1" minValue="2.5131480007299601E-4" maxValue="5.2920800991820203"/>
    </cacheField>
    <cacheField name="Bound Error" numFmtId="11">
      <sharedItems containsSemiMixedTypes="0" containsString="0" containsNumber="1" minValue="4.22915047950317E-4" maxValue="7.71592851019473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s v="clean"/>
    <s v="CG"/>
    <n v="70.881799999999998"/>
  </r>
  <r>
    <x v="0"/>
    <s v="noisy"/>
    <s v="CG"/>
    <n v="16.0017"/>
  </r>
  <r>
    <x v="0"/>
    <s v="clean"/>
    <s v="GD"/>
    <n v="61.017899999999997"/>
  </r>
  <r>
    <x v="0"/>
    <s v="noisy"/>
    <s v="GD"/>
    <n v="17.398199999999999"/>
  </r>
  <r>
    <x v="0"/>
    <s v="clean"/>
    <s v="IG"/>
    <n v="0.272123"/>
  </r>
  <r>
    <x v="0"/>
    <s v="noisy"/>
    <s v="IG"/>
    <n v="7.5115100000000004E-2"/>
  </r>
  <r>
    <x v="0"/>
    <s v="noisy"/>
    <s v="LBFGS"/>
    <n v="5.0377299999999998"/>
  </r>
  <r>
    <x v="0"/>
    <s v="clean"/>
    <s v="LBFGS"/>
    <n v="13.916399999999999"/>
  </r>
  <r>
    <x v="0"/>
    <s v="clean"/>
    <s v="LSQ"/>
    <n v="12.635400000000001"/>
  </r>
  <r>
    <x v="0"/>
    <s v="noisy"/>
    <s v="LSQ"/>
    <n v="3.9053200000000001"/>
  </r>
  <r>
    <x v="1"/>
    <s v="clean"/>
    <s v="CG"/>
    <n v="36.898899999999998"/>
  </r>
  <r>
    <x v="1"/>
    <s v="noisy"/>
    <s v="CG"/>
    <n v="7.8173300000000001"/>
  </r>
  <r>
    <x v="1"/>
    <s v="clean"/>
    <s v="GD"/>
    <n v="47.877200000000002"/>
  </r>
  <r>
    <x v="1"/>
    <s v="noisy"/>
    <s v="GD"/>
    <n v="7.7334100000000001"/>
  </r>
  <r>
    <x v="1"/>
    <s v="clean"/>
    <s v="IG"/>
    <n v="0.26216699999999998"/>
  </r>
  <r>
    <x v="1"/>
    <s v="noisy"/>
    <s v="IG"/>
    <n v="0.326992"/>
  </r>
  <r>
    <x v="1"/>
    <s v="noisy"/>
    <s v="LBFGS"/>
    <n v="2.6439900000000001"/>
  </r>
  <r>
    <x v="1"/>
    <s v="clean"/>
    <s v="LBFGS"/>
    <n v="1.80654"/>
  </r>
  <r>
    <x v="1"/>
    <s v="clean"/>
    <s v="LSQ"/>
    <n v="2.7180300000000002"/>
  </r>
  <r>
    <x v="1"/>
    <s v="noisy"/>
    <s v="LSQ"/>
    <n v="0.98388299999999995"/>
  </r>
  <r>
    <x v="2"/>
    <s v="clean"/>
    <s v="CG"/>
    <n v="62.610999999999997"/>
  </r>
  <r>
    <x v="2"/>
    <s v="noisy"/>
    <s v="CG"/>
    <n v="8.5870700000000006"/>
  </r>
  <r>
    <x v="3"/>
    <s v="clean"/>
    <s v="CG"/>
    <n v="62.610999999999997"/>
  </r>
  <r>
    <x v="3"/>
    <s v="noisy"/>
    <s v="CG"/>
    <n v="8.5870700000000006"/>
  </r>
  <r>
    <x v="2"/>
    <s v="clean"/>
    <s v="GD"/>
    <n v="54.771299999999997"/>
  </r>
  <r>
    <x v="2"/>
    <s v="noisy"/>
    <s v="GD"/>
    <n v="14.228300000000001"/>
  </r>
  <r>
    <x v="3"/>
    <s v="clean"/>
    <s v="GD"/>
    <n v="54.771299999999997"/>
  </r>
  <r>
    <x v="3"/>
    <s v="noisy"/>
    <s v="GD"/>
    <n v="14.228300000000001"/>
  </r>
  <r>
    <x v="2"/>
    <s v="clean"/>
    <s v="IG"/>
    <n v="0.34911399999999998"/>
  </r>
  <r>
    <x v="2"/>
    <s v="noisy"/>
    <s v="IG"/>
    <n v="7.0940500000000004E-2"/>
  </r>
  <r>
    <x v="3"/>
    <s v="clean"/>
    <s v="IG"/>
    <n v="0.34911399999999998"/>
  </r>
  <r>
    <x v="3"/>
    <s v="noisy"/>
    <s v="IG"/>
    <n v="7.0940500000000004E-2"/>
  </r>
  <r>
    <x v="2"/>
    <s v="noisy"/>
    <s v="LBFGS"/>
    <n v="1.6848399999999999"/>
  </r>
  <r>
    <x v="2"/>
    <s v="clean"/>
    <s v="LBFGS"/>
    <n v="2.87683"/>
  </r>
  <r>
    <x v="3"/>
    <s v="noisy"/>
    <s v="LBFGS"/>
    <n v="1.6848399999999999"/>
  </r>
  <r>
    <x v="3"/>
    <s v="clean"/>
    <s v="LBFGS"/>
    <n v="2.87683"/>
  </r>
  <r>
    <x v="2"/>
    <s v="clean"/>
    <s v="LSQ"/>
    <n v="4.4576900000000004"/>
  </r>
  <r>
    <x v="2"/>
    <s v="noisy"/>
    <s v="LSQ"/>
    <n v="1.5675600000000001"/>
  </r>
  <r>
    <x v="3"/>
    <s v="clean"/>
    <s v="LSQ"/>
    <n v="4.4576900000000004"/>
  </r>
  <r>
    <x v="3"/>
    <s v="noisy"/>
    <s v="LSQ"/>
    <n v="1.5675600000000001"/>
  </r>
  <r>
    <x v="4"/>
    <s v="clean"/>
    <s v="CG"/>
    <n v="6.6156800000000002"/>
  </r>
  <r>
    <x v="4"/>
    <s v="noisy"/>
    <s v="CG"/>
    <n v="9.6140600000000003"/>
  </r>
  <r>
    <x v="4"/>
    <s v="clean"/>
    <s v="GD"/>
    <n v="35.988700000000001"/>
  </r>
  <r>
    <x v="4"/>
    <s v="noisy"/>
    <s v="GD"/>
    <n v="17.239699999999999"/>
  </r>
  <r>
    <x v="4"/>
    <s v="clean"/>
    <s v="IG"/>
    <n v="0.292354"/>
  </r>
  <r>
    <x v="4"/>
    <s v="noisy"/>
    <s v="IG"/>
    <n v="6.8042199999999997E-2"/>
  </r>
  <r>
    <x v="4"/>
    <s v="noisy"/>
    <s v="LBFGS"/>
    <n v="3.1019899999999998"/>
  </r>
  <r>
    <x v="4"/>
    <s v="clean"/>
    <s v="LBFGS"/>
    <n v="13.1905"/>
  </r>
  <r>
    <x v="4"/>
    <s v="clean"/>
    <s v="LSQ"/>
    <n v="1.1140000000000001"/>
  </r>
  <r>
    <x v="4"/>
    <s v="noisy"/>
    <s v="LSQ"/>
    <n v="2.785079999999999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x v="0"/>
    <x v="0"/>
    <n v="70.881799999999998"/>
  </r>
  <r>
    <x v="0"/>
    <x v="1"/>
    <x v="0"/>
    <n v="16.0017"/>
  </r>
  <r>
    <x v="0"/>
    <x v="0"/>
    <x v="1"/>
    <n v="61.017899999999997"/>
  </r>
  <r>
    <x v="0"/>
    <x v="1"/>
    <x v="1"/>
    <n v="17.398199999999999"/>
  </r>
  <r>
    <x v="0"/>
    <x v="0"/>
    <x v="2"/>
    <n v="0.272123"/>
  </r>
  <r>
    <x v="0"/>
    <x v="1"/>
    <x v="2"/>
    <n v="7.5115100000000004E-2"/>
  </r>
  <r>
    <x v="0"/>
    <x v="1"/>
    <x v="3"/>
    <n v="5.0377299999999998"/>
  </r>
  <r>
    <x v="0"/>
    <x v="0"/>
    <x v="3"/>
    <n v="13.916399999999999"/>
  </r>
  <r>
    <x v="0"/>
    <x v="0"/>
    <x v="4"/>
    <n v="12.635400000000001"/>
  </r>
  <r>
    <x v="0"/>
    <x v="1"/>
    <x v="4"/>
    <n v="3.9053200000000001"/>
  </r>
  <r>
    <x v="1"/>
    <x v="0"/>
    <x v="0"/>
    <n v="36.898899999999998"/>
  </r>
  <r>
    <x v="1"/>
    <x v="1"/>
    <x v="0"/>
    <n v="7.8173300000000001"/>
  </r>
  <r>
    <x v="1"/>
    <x v="0"/>
    <x v="1"/>
    <n v="47.877200000000002"/>
  </r>
  <r>
    <x v="1"/>
    <x v="1"/>
    <x v="1"/>
    <n v="7.7334100000000001"/>
  </r>
  <r>
    <x v="1"/>
    <x v="0"/>
    <x v="2"/>
    <n v="0.26216699999999998"/>
  </r>
  <r>
    <x v="1"/>
    <x v="1"/>
    <x v="2"/>
    <n v="0.326992"/>
  </r>
  <r>
    <x v="1"/>
    <x v="1"/>
    <x v="3"/>
    <n v="2.6439900000000001"/>
  </r>
  <r>
    <x v="1"/>
    <x v="0"/>
    <x v="3"/>
    <n v="1.80654"/>
  </r>
  <r>
    <x v="1"/>
    <x v="0"/>
    <x v="4"/>
    <n v="2.7180300000000002"/>
  </r>
  <r>
    <x v="1"/>
    <x v="1"/>
    <x v="4"/>
    <n v="0.98388299999999995"/>
  </r>
  <r>
    <x v="2"/>
    <x v="0"/>
    <x v="0"/>
    <n v="62.610999999999997"/>
  </r>
  <r>
    <x v="2"/>
    <x v="1"/>
    <x v="0"/>
    <n v="8.5870700000000006"/>
  </r>
  <r>
    <x v="3"/>
    <x v="0"/>
    <x v="0"/>
    <n v="62.610999999999997"/>
  </r>
  <r>
    <x v="3"/>
    <x v="1"/>
    <x v="0"/>
    <n v="8.5870700000000006"/>
  </r>
  <r>
    <x v="2"/>
    <x v="0"/>
    <x v="1"/>
    <n v="54.771299999999997"/>
  </r>
  <r>
    <x v="2"/>
    <x v="1"/>
    <x v="1"/>
    <n v="14.228300000000001"/>
  </r>
  <r>
    <x v="3"/>
    <x v="0"/>
    <x v="1"/>
    <n v="54.771299999999997"/>
  </r>
  <r>
    <x v="3"/>
    <x v="1"/>
    <x v="1"/>
    <n v="14.228300000000001"/>
  </r>
  <r>
    <x v="2"/>
    <x v="0"/>
    <x v="2"/>
    <n v="0.34911399999999998"/>
  </r>
  <r>
    <x v="2"/>
    <x v="1"/>
    <x v="2"/>
    <n v="7.0940500000000004E-2"/>
  </r>
  <r>
    <x v="3"/>
    <x v="0"/>
    <x v="2"/>
    <n v="0.34911399999999998"/>
  </r>
  <r>
    <x v="3"/>
    <x v="1"/>
    <x v="2"/>
    <n v="7.0940500000000004E-2"/>
  </r>
  <r>
    <x v="2"/>
    <x v="1"/>
    <x v="3"/>
    <n v="1.6848399999999999"/>
  </r>
  <r>
    <x v="2"/>
    <x v="0"/>
    <x v="3"/>
    <n v="2.87683"/>
  </r>
  <r>
    <x v="3"/>
    <x v="1"/>
    <x v="3"/>
    <n v="1.6848399999999999"/>
  </r>
  <r>
    <x v="3"/>
    <x v="0"/>
    <x v="3"/>
    <n v="2.87683"/>
  </r>
  <r>
    <x v="2"/>
    <x v="0"/>
    <x v="4"/>
    <n v="4.4576900000000004"/>
  </r>
  <r>
    <x v="2"/>
    <x v="1"/>
    <x v="4"/>
    <n v="1.5675600000000001"/>
  </r>
  <r>
    <x v="3"/>
    <x v="0"/>
    <x v="4"/>
    <n v="4.4576900000000004"/>
  </r>
  <r>
    <x v="3"/>
    <x v="1"/>
    <x v="4"/>
    <n v="1.5675600000000001"/>
  </r>
  <r>
    <x v="4"/>
    <x v="0"/>
    <x v="0"/>
    <n v="6.6156800000000002"/>
  </r>
  <r>
    <x v="4"/>
    <x v="1"/>
    <x v="0"/>
    <n v="9.6140600000000003"/>
  </r>
  <r>
    <x v="4"/>
    <x v="0"/>
    <x v="1"/>
    <n v="35.988700000000001"/>
  </r>
  <r>
    <x v="4"/>
    <x v="1"/>
    <x v="1"/>
    <n v="17.239699999999999"/>
  </r>
  <r>
    <x v="4"/>
    <x v="0"/>
    <x v="2"/>
    <n v="0.292354"/>
  </r>
  <r>
    <x v="4"/>
    <x v="1"/>
    <x v="2"/>
    <n v="6.8042199999999997E-2"/>
  </r>
  <r>
    <x v="4"/>
    <x v="1"/>
    <x v="3"/>
    <n v="3.1019899999999998"/>
  </r>
  <r>
    <x v="4"/>
    <x v="0"/>
    <x v="3"/>
    <n v="13.1905"/>
  </r>
  <r>
    <x v="4"/>
    <x v="0"/>
    <x v="4"/>
    <n v="1.1140000000000001"/>
  </r>
  <r>
    <x v="4"/>
    <x v="1"/>
    <x v="4"/>
    <n v="2.785079999999999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x v="0"/>
    <n v="70.881799999999998"/>
    <n v="8.0158078411725396E-5"/>
    <n v="3.0149357368290598E-4"/>
    <n v="5.63382571350472E-4"/>
  </r>
  <r>
    <x v="0"/>
    <x v="0"/>
    <x v="1"/>
    <n v="61.017899999999997"/>
    <n v="1.0708893831739E-4"/>
    <n v="2.5131480007299601E-4"/>
    <n v="4.22915047950317E-4"/>
  </r>
  <r>
    <x v="0"/>
    <x v="0"/>
    <x v="2"/>
    <n v="0.272123"/>
    <n v="5.5376499405338701E-4"/>
    <n v="1.5675444224314201E-3"/>
    <n v="2.7592100881690998E-3"/>
  </r>
  <r>
    <x v="0"/>
    <x v="0"/>
    <x v="3"/>
    <n v="13.916399999999999"/>
    <n v="7.4497472269780495E-5"/>
    <n v="3.65258340649205E-4"/>
    <n v="4.7883756930836501E-4"/>
  </r>
  <r>
    <x v="0"/>
    <x v="0"/>
    <x v="4"/>
    <n v="12.635400000000001"/>
    <n v="1.82414863568795E-4"/>
    <n v="9.4711775251927197E-4"/>
    <n v="1.22394752256336E-3"/>
  </r>
  <r>
    <x v="0"/>
    <x v="0"/>
    <x v="5"/>
    <n v="1.9495819000000001"/>
    <n v="0.250117713343676"/>
    <n v="1.5741567529357801"/>
    <n v="2.8632267143095902"/>
  </r>
  <r>
    <x v="0"/>
    <x v="1"/>
    <x v="0"/>
    <n v="16.0017"/>
    <n v="5.0852103951725701E-2"/>
    <n v="0.34232484116550099"/>
    <n v="0.67448009802876696"/>
  </r>
  <r>
    <x v="0"/>
    <x v="1"/>
    <x v="1"/>
    <n v="17.398199999999999"/>
    <n v="0.61338183564672499"/>
    <n v="2.9628652746893702"/>
    <n v="4.2693759980444002"/>
  </r>
  <r>
    <x v="0"/>
    <x v="1"/>
    <x v="2"/>
    <n v="7.5115100000000004E-2"/>
    <n v="0.23048247046100401"/>
    <n v="1.5515994839971401"/>
    <n v="2.9870621343039798"/>
  </r>
  <r>
    <x v="0"/>
    <x v="1"/>
    <x v="3"/>
    <n v="5.0377299999999998"/>
    <n v="6.2147256965994498E-2"/>
    <n v="0.75542110204059698"/>
    <n v="1.3574724764266599"/>
  </r>
  <r>
    <x v="0"/>
    <x v="1"/>
    <x v="4"/>
    <n v="3.9053200000000001"/>
    <n v="6.6219476715996706E-2"/>
    <n v="0.41891422090307801"/>
    <n v="0.809559330529667"/>
  </r>
  <r>
    <x v="0"/>
    <x v="1"/>
    <x v="5"/>
    <n v="0.54042769999999996"/>
    <n v="0.217587732167494"/>
    <n v="1.40379689424623"/>
    <n v="2.72814040764188"/>
  </r>
  <r>
    <x v="1"/>
    <x v="0"/>
    <x v="0"/>
    <n v="36.898899999999998"/>
    <n v="2.5091416902881399E-3"/>
    <n v="7.2222514734408497E-3"/>
    <n v="1.4113510787013899E-2"/>
  </r>
  <r>
    <x v="1"/>
    <x v="0"/>
    <x v="1"/>
    <n v="47.877200000000002"/>
    <n v="5.5010172994750901E-3"/>
    <n v="1.6524525225234801E-2"/>
    <n v="2.7843177139354601E-2"/>
  </r>
  <r>
    <x v="1"/>
    <x v="0"/>
    <x v="2"/>
    <n v="0.26216699999999998"/>
    <n v="6.6681803044133896E-3"/>
    <n v="2.0590593675692499E-2"/>
    <n v="2.3637880091791501E-2"/>
  </r>
  <r>
    <x v="1"/>
    <x v="0"/>
    <x v="3"/>
    <n v="1.80654"/>
    <n v="2.6246408285867402E-3"/>
    <n v="7.3498517231258102E-3"/>
    <n v="1.4359291311023901E-2"/>
  </r>
  <r>
    <x v="1"/>
    <x v="0"/>
    <x v="4"/>
    <n v="2.7180300000000002"/>
    <n v="2.6246393560013302E-3"/>
    <n v="7.3498541312440697E-3"/>
    <n v="1.4359288182437299E-2"/>
  </r>
  <r>
    <x v="1"/>
    <x v="0"/>
    <x v="5"/>
    <n v="4.3649449000000002"/>
    <n v="3.01868263179329E-3"/>
    <n v="9.0967723677438505E-3"/>
    <n v="1.7050883086645801E-2"/>
  </r>
  <r>
    <x v="1"/>
    <x v="1"/>
    <x v="0"/>
    <n v="7.8173300000000001"/>
    <n v="0.801291367502725"/>
    <n v="2.88919091353198"/>
    <n v="5.37246542255048"/>
  </r>
  <r>
    <x v="1"/>
    <x v="1"/>
    <x v="1"/>
    <n v="7.7334100000000001"/>
    <n v="0.96598603616919898"/>
    <n v="3.5582416127633998"/>
    <n v="6.28696568810778"/>
  </r>
  <r>
    <x v="1"/>
    <x v="1"/>
    <x v="2"/>
    <n v="0.326992"/>
    <n v="2.4102050946459301"/>
    <n v="5.2920800991820203"/>
    <n v="6.77487680978372"/>
  </r>
  <r>
    <x v="1"/>
    <x v="1"/>
    <x v="3"/>
    <n v="2.6439900000000001"/>
    <n v="0.77456738695982197"/>
    <n v="2.88986608068537"/>
    <n v="5.3199692641874696"/>
  </r>
  <r>
    <x v="1"/>
    <x v="1"/>
    <x v="4"/>
    <n v="0.98388299999999995"/>
    <n v="0.65760417888491196"/>
    <n v="2.4889104970683902"/>
    <n v="4.9520824509459498"/>
  </r>
  <r>
    <x v="1"/>
    <x v="1"/>
    <x v="5"/>
    <n v="2.1352106000000002"/>
    <n v="1.3240908227252699"/>
    <n v="4.4642172980045904"/>
    <n v="7.7159285101947397"/>
  </r>
  <r>
    <x v="2"/>
    <x v="0"/>
    <x v="0"/>
    <n v="62.610999999999997"/>
    <n v="2.3646261766681201E-3"/>
    <n v="7.6746499836514602E-3"/>
    <n v="1.2810808666554801E-2"/>
  </r>
  <r>
    <x v="2"/>
    <x v="0"/>
    <x v="1"/>
    <n v="54.771299999999997"/>
    <n v="1.1550009147432601E-3"/>
    <n v="3.2988905937129001E-3"/>
    <n v="6.5095841618804896E-3"/>
  </r>
  <r>
    <x v="2"/>
    <x v="0"/>
    <x v="2"/>
    <n v="0.34911399999999998"/>
    <n v="6.9063927253939996E-4"/>
    <n v="2.3405484709488802E-3"/>
    <n v="3.9843163903979101E-3"/>
  </r>
  <r>
    <x v="2"/>
    <x v="0"/>
    <x v="3"/>
    <n v="2.87683"/>
    <n v="2.1818662183589101E-3"/>
    <n v="7.8308685916167308E-3"/>
    <n v="1.2375491780561699E-2"/>
  </r>
  <r>
    <x v="2"/>
    <x v="0"/>
    <x v="4"/>
    <n v="4.4576900000000004"/>
    <n v="1.9557646257379298E-3"/>
    <n v="6.7816752973434303E-3"/>
    <n v="1.12395882886645E-2"/>
  </r>
  <r>
    <x v="2"/>
    <x v="0"/>
    <x v="5"/>
    <n v="4.0496929000000002"/>
    <n v="1.93825715071022E-3"/>
    <n v="6.4403342578306603E-3"/>
    <n v="1.1390192968623499E-2"/>
  </r>
  <r>
    <x v="2"/>
    <x v="1"/>
    <x v="0"/>
    <n v="8.5870700000000006"/>
    <n v="4.1453415836221599E-2"/>
    <n v="0.14040456794717501"/>
    <n v="0.245064119550231"/>
  </r>
  <r>
    <x v="2"/>
    <x v="1"/>
    <x v="1"/>
    <n v="14.228300000000001"/>
    <n v="0.13904915029484899"/>
    <n v="0.386911454156115"/>
    <n v="0.68318059147913801"/>
  </r>
  <r>
    <x v="2"/>
    <x v="1"/>
    <x v="2"/>
    <n v="7.0940500000000004E-2"/>
    <n v="0.15612056582273201"/>
    <n v="0.51286766610365897"/>
    <n v="0.71278513265916699"/>
  </r>
  <r>
    <x v="2"/>
    <x v="1"/>
    <x v="3"/>
    <n v="1.6848399999999999"/>
    <n v="4.1456865722321698E-2"/>
    <n v="0.140393759291254"/>
    <n v="0.24506370248391099"/>
  </r>
  <r>
    <x v="2"/>
    <x v="1"/>
    <x v="4"/>
    <n v="1.5675600000000001"/>
    <n v="4.0833320272044303E-2"/>
    <n v="0.140925650846046"/>
    <n v="0.24505734285731401"/>
  </r>
  <r>
    <x v="2"/>
    <x v="1"/>
    <x v="5"/>
    <n v="1.2574320000000001"/>
    <n v="4.0787048159407598E-2"/>
    <n v="0.14148670760075799"/>
    <n v="0.245053054690517"/>
  </r>
  <r>
    <x v="3"/>
    <x v="0"/>
    <x v="0"/>
    <n v="54.652799999999999"/>
    <n v="4.4510542736962699E-3"/>
    <n v="1.6507426046054201E-2"/>
    <n v="2.6229440676767898E-2"/>
  </r>
  <r>
    <x v="3"/>
    <x v="0"/>
    <x v="1"/>
    <n v="63.719700000000003"/>
    <n v="6.3331295728659403E-3"/>
    <n v="1.7931398656809299E-2"/>
    <n v="3.3279032323531001E-2"/>
  </r>
  <r>
    <x v="3"/>
    <x v="0"/>
    <x v="2"/>
    <n v="0.33784500000000001"/>
    <n v="1.8309538424324302E-2"/>
    <n v="8.5810910075569402E-2"/>
    <n v="8.5895394944806996E-2"/>
  </r>
  <r>
    <x v="3"/>
    <x v="0"/>
    <x v="3"/>
    <n v="2.5577700000000001"/>
    <n v="4.0142921929919003E-3"/>
    <n v="1.28594873147887E-2"/>
    <n v="2.28128592064397E-2"/>
  </r>
  <r>
    <x v="3"/>
    <x v="0"/>
    <x v="4"/>
    <n v="3.11145"/>
    <n v="4.0142916824074297E-3"/>
    <n v="1.28594959878779E-2"/>
    <n v="2.28128717828079E-2"/>
  </r>
  <r>
    <x v="3"/>
    <x v="0"/>
    <x v="5"/>
    <n v="4.5974335000000002"/>
    <n v="5.5891524503640499E-3"/>
    <n v="2.2443603715458799E-2"/>
    <n v="3.4773400574761498E-2"/>
  </r>
  <r>
    <x v="3"/>
    <x v="1"/>
    <x v="0"/>
    <n v="6.6707299999999998"/>
    <n v="0.24360513166502101"/>
    <n v="0.75915050824021502"/>
    <n v="1.51023010747413"/>
  </r>
  <r>
    <x v="3"/>
    <x v="1"/>
    <x v="1"/>
    <n v="13.828099999999999"/>
    <n v="0.45993125581394501"/>
    <n v="1.88492546748256"/>
    <n v="3.0087160259682402"/>
  </r>
  <r>
    <x v="3"/>
    <x v="1"/>
    <x v="2"/>
    <n v="8.8483400000000004E-2"/>
    <n v="0.50439958268898499"/>
    <n v="1.17428808388124"/>
    <n v="1.8642873922166101"/>
  </r>
  <r>
    <x v="3"/>
    <x v="1"/>
    <x v="3"/>
    <n v="1.0792299999999999"/>
    <n v="0.23694535093489999"/>
    <n v="0.75638934371671995"/>
    <n v="1.51030932819276"/>
  </r>
  <r>
    <x v="3"/>
    <x v="1"/>
    <x v="4"/>
    <n v="1.5731599999999999"/>
    <n v="0.229718036094717"/>
    <n v="0.77961498364586002"/>
    <n v="1.4616668194278799"/>
  </r>
  <r>
    <x v="3"/>
    <x v="1"/>
    <x v="5"/>
    <n v="1.5713614"/>
    <n v="0.40071241252664902"/>
    <n v="0.96581405788355201"/>
    <n v="1.9214747959175"/>
  </r>
  <r>
    <x v="4"/>
    <x v="0"/>
    <x v="0"/>
    <n v="6.6156800000000002"/>
    <n v="0.14592883124204001"/>
    <n v="0.60449260703643604"/>
    <n v="1.0055006730877001"/>
  </r>
  <r>
    <x v="4"/>
    <x v="0"/>
    <x v="1"/>
    <n v="35.988700000000001"/>
    <n v="0.12968113651434601"/>
    <n v="0.57749149831848201"/>
    <n v="1.0185314034547699"/>
  </r>
  <r>
    <x v="4"/>
    <x v="0"/>
    <x v="2"/>
    <n v="0.292354"/>
    <n v="0.31220361801305802"/>
    <n v="0.73540788758055997"/>
    <n v="0.73616458940486895"/>
  </r>
  <r>
    <x v="4"/>
    <x v="0"/>
    <x v="3"/>
    <n v="13.1905"/>
    <n v="3.3790369124594198E-3"/>
    <n v="1.0685154303572E-2"/>
    <n v="1.9292474326642099E-2"/>
  </r>
  <r>
    <x v="4"/>
    <x v="0"/>
    <x v="4"/>
    <n v="1.1140000000000001"/>
    <n v="0.249127964789603"/>
    <n v="0.88938504322949796"/>
    <n v="1.3298393318872299"/>
  </r>
  <r>
    <x v="4"/>
    <x v="0"/>
    <x v="5"/>
    <n v="1.9451883000000001"/>
    <n v="0.40359911336578402"/>
    <n v="0.62498700848665001"/>
    <n v="1.1677899083337999"/>
  </r>
  <r>
    <x v="4"/>
    <x v="1"/>
    <x v="0"/>
    <n v="9.6140600000000003"/>
    <n v="9.8471561707902805E-2"/>
    <n v="0.33753961371707603"/>
    <n v="0.61523698654407699"/>
  </r>
  <r>
    <x v="4"/>
    <x v="1"/>
    <x v="1"/>
    <n v="17.239699999999999"/>
    <n v="0.14224438082638899"/>
    <n v="0.414745195132116"/>
    <n v="0.80134390579414105"/>
  </r>
  <r>
    <x v="4"/>
    <x v="1"/>
    <x v="2"/>
    <n v="6.8042199999999997E-2"/>
    <n v="0.50760907712574199"/>
    <n v="1.09124651945925"/>
    <n v="1.10549516064681"/>
  </r>
  <r>
    <x v="4"/>
    <x v="1"/>
    <x v="3"/>
    <n v="3.1019899999999998"/>
    <n v="9.8036203584847603E-2"/>
    <n v="0.30778567176863803"/>
    <n v="0.58570046607555803"/>
  </r>
  <r>
    <x v="4"/>
    <x v="1"/>
    <x v="4"/>
    <n v="2.7850799999999998"/>
    <n v="9.71806155299062E-2"/>
    <n v="0.295448031130705"/>
    <n v="0.57115690156416798"/>
  </r>
  <r>
    <x v="4"/>
    <x v="1"/>
    <x v="5"/>
    <n v="0.69017720000000005"/>
    <n v="0.131432654739953"/>
    <n v="0.54299357139798299"/>
    <n v="1.00986219549207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DC6318-5478-44BB-84A3-F944FE4F7B2F}" name="PivotTable7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65:O72" firstHeaderRow="0" firstDataRow="1" firstDataCol="1" rowPageCount="2" colPageCount="1"/>
  <pivotFields count="7"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3">
        <item x="0"/>
        <item x="1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numFmtId="2" showAll="0"/>
    <pivotField dataField="1" numFmtId="11" showAll="0"/>
    <pivotField dataField="1" numFmtId="11" showAll="0"/>
    <pivotField dataField="1" numFmtId="1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-1"/>
    <pageField fld="0" hier="-1"/>
  </pageFields>
  <dataFields count="4">
    <dataField name="Average of Time" fld="3" subtotal="average" baseField="2" baseItem="0" numFmtId="2"/>
    <dataField name="Average of RMSE " fld="4" subtotal="average" baseField="2" baseItem="0" numFmtId="11"/>
    <dataField name="Average of Max Error" fld="5" subtotal="average" baseField="2" baseItem="0" numFmtId="11"/>
    <dataField name="Average of Bound Error" fld="6" subtotal="average" baseField="2" baseItem="0" numFmtId="11"/>
  </dataFields>
  <formats count="1">
    <format dxfId="2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6588A0-F12E-4279-A577-2BF5506FFD66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4"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Time" fld="3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851351-5762-47AA-9C99-E48338352ED5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7" firstHeaderRow="1" firstDataRow="1" firstDataCol="1"/>
  <pivotFields count="4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Time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56F446-3E7B-4854-B939-AF6EA7A2F56D}" name="Table2" displayName="Table2" ref="A1:I51" totalsRowShown="0" headerRowDxfId="36">
  <autoFilter ref="A1:I51" xr:uid="{2856F446-3E7B-4854-B939-AF6EA7A2F56D}"/>
  <sortState xmlns:xlrd2="http://schemas.microsoft.com/office/spreadsheetml/2017/richdata2" ref="A2:I51">
    <sortCondition ref="B1:B51"/>
  </sortState>
  <tableColumns count="9">
    <tableColumn id="1" xr3:uid="{71450332-B3B5-4E96-86BB-34323B05ABC1}" name="Experiment Name"/>
    <tableColumn id="2" xr3:uid="{A51F0899-E2FA-42CE-92AF-944DD492BF74}" name="1D Shape"/>
    <tableColumn id="3" xr3:uid="{66741120-6567-4F78-8D8C-82FB4A90D2FF}" name="Noise (%)" dataDxfId="35"/>
    <tableColumn id="4" xr3:uid="{D7708E0C-FFAD-4A5D-9D36-E680B52AE3D6}" name="Solver Type"/>
    <tableColumn id="5" xr3:uid="{D0FAAAE8-66FD-4D21-986B-DE7577F2BC40}" name="Monotonicity"/>
    <tableColumn id="6" xr3:uid="{95EED547-3D6F-46C9-94E8-825FEFE177DF}" name="ω"/>
    <tableColumn id="7" xr3:uid="{CE8CB95D-61EB-4A62-A7EA-674735ABB2CF}" name="N"/>
    <tableColumn id="8" xr3:uid="{17FF209F-A3D2-4E74-8405-B98541CC4DFC}" name="Time"/>
    <tableColumn id="9" xr3:uid="{DF153323-ED2E-468D-A98C-278A6D0C7BA9}" name="Date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8A07A3-2F18-41C5-AE7D-0C571414E06A}" name="Table3" displayName="Table3" ref="A1:G61" totalsRowShown="0" headerRowDxfId="26" dataDxfId="27">
  <autoFilter ref="A1:G61" xr:uid="{288A07A3-2F18-41C5-AE7D-0C571414E06A}">
    <filterColumn colId="0">
      <filters>
        <filter val="Composite Sine"/>
        <filter val="Sin E"/>
        <filter val="Sine"/>
        <filter val="Step"/>
      </filters>
    </filterColumn>
  </autoFilter>
  <sortState xmlns:xlrd2="http://schemas.microsoft.com/office/spreadsheetml/2017/richdata2" ref="A14:G25">
    <sortCondition ref="C1:C61"/>
  </sortState>
  <tableColumns count="7">
    <tableColumn id="1" xr3:uid="{4057DF9D-0784-4CA6-9760-7EB69DD81821}" name="Problem" dataDxfId="34"/>
    <tableColumn id="2" xr3:uid="{09CDC94D-BD23-451A-968A-3536D32E02CF}" name="Data Type" dataDxfId="33"/>
    <tableColumn id="3" xr3:uid="{01E7E663-6F07-43DA-8A9A-1C305518C38C}" name="Solver" dataDxfId="32"/>
    <tableColumn id="4" xr3:uid="{A07A64D9-3E01-477C-8421-CFCC0CF38D50}" name="Time" dataDxfId="31"/>
    <tableColumn id="5" xr3:uid="{87FB5476-73BB-44FC-8DA9-86505FDDD821}" name="RMSE " dataDxfId="30"/>
    <tableColumn id="6" xr3:uid="{6E00F914-CF6A-459C-8178-D1805481E3B7}" name="Max Error" dataDxfId="29"/>
    <tableColumn id="7" xr3:uid="{7D03900D-C497-4240-A243-CA1190C77259}" name="Bound Error" dataDxfId="28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15E02-D2B4-4434-B716-C026CC47D5E6}">
  <dimension ref="A1:T82"/>
  <sheetViews>
    <sheetView zoomScaleNormal="100" workbookViewId="0">
      <selection activeCell="K22" sqref="K22"/>
    </sheetView>
  </sheetViews>
  <sheetFormatPr defaultRowHeight="14.5" x14ac:dyDescent="0.35"/>
  <cols>
    <col min="1" max="1" width="20.6328125" customWidth="1"/>
    <col min="2" max="2" width="18.6328125" bestFit="1" customWidth="1"/>
    <col min="3" max="3" width="13.90625" bestFit="1" customWidth="1"/>
    <col min="4" max="4" width="17.26953125" bestFit="1" customWidth="1"/>
    <col min="5" max="5" width="14.453125" customWidth="1"/>
    <col min="11" max="11" width="41" customWidth="1"/>
    <col min="12" max="12" width="142.7265625" customWidth="1"/>
  </cols>
  <sheetData>
    <row r="1" spans="1:20" ht="16" x14ac:dyDescent="0.4">
      <c r="A1" s="1" t="s">
        <v>1</v>
      </c>
      <c r="B1" s="1" t="s">
        <v>0</v>
      </c>
      <c r="C1" s="1" t="s">
        <v>4</v>
      </c>
      <c r="D1" s="1" t="s">
        <v>2</v>
      </c>
      <c r="E1" s="1" t="s">
        <v>17</v>
      </c>
      <c r="F1" s="3" t="s">
        <v>3</v>
      </c>
      <c r="G1" s="3" t="s">
        <v>13</v>
      </c>
      <c r="H1" s="3" t="s">
        <v>23</v>
      </c>
      <c r="I1" s="3" t="s">
        <v>11</v>
      </c>
      <c r="J1" s="3"/>
      <c r="K1" s="3" t="s">
        <v>12</v>
      </c>
      <c r="L1" s="1" t="s">
        <v>10</v>
      </c>
      <c r="M1" s="1"/>
      <c r="N1" s="1"/>
      <c r="O1" s="1"/>
      <c r="P1" s="1"/>
      <c r="Q1" s="1"/>
      <c r="R1" s="1"/>
      <c r="S1" s="2"/>
      <c r="T1" s="2"/>
    </row>
    <row r="2" spans="1:20" x14ac:dyDescent="0.35">
      <c r="A2" t="s">
        <v>20</v>
      </c>
      <c r="B2" t="s">
        <v>5</v>
      </c>
      <c r="C2" s="4">
        <v>0.05</v>
      </c>
      <c r="D2" t="s">
        <v>14</v>
      </c>
      <c r="E2" t="s">
        <v>19</v>
      </c>
      <c r="F2">
        <v>0</v>
      </c>
      <c r="G2">
        <v>50</v>
      </c>
    </row>
    <row r="3" spans="1:20" x14ac:dyDescent="0.35">
      <c r="B3" t="s">
        <v>5</v>
      </c>
      <c r="C3" s="4">
        <v>0</v>
      </c>
      <c r="D3" t="s">
        <v>14</v>
      </c>
      <c r="E3" t="s">
        <v>18</v>
      </c>
      <c r="F3">
        <v>0</v>
      </c>
      <c r="G3">
        <v>200</v>
      </c>
    </row>
    <row r="4" spans="1:20" x14ac:dyDescent="0.35">
      <c r="B4" t="s">
        <v>5</v>
      </c>
      <c r="C4" s="4">
        <v>0.05</v>
      </c>
      <c r="D4" t="s">
        <v>15</v>
      </c>
      <c r="E4" t="s">
        <v>19</v>
      </c>
      <c r="F4">
        <v>0</v>
      </c>
      <c r="G4">
        <v>50</v>
      </c>
    </row>
    <row r="5" spans="1:20" x14ac:dyDescent="0.35">
      <c r="B5" t="s">
        <v>5</v>
      </c>
      <c r="C5" s="4">
        <v>0</v>
      </c>
      <c r="D5" t="s">
        <v>15</v>
      </c>
      <c r="E5" t="s">
        <v>18</v>
      </c>
      <c r="F5">
        <v>0</v>
      </c>
      <c r="G5">
        <v>200</v>
      </c>
    </row>
    <row r="6" spans="1:20" x14ac:dyDescent="0.35">
      <c r="B6" t="s">
        <v>5</v>
      </c>
      <c r="C6" s="4">
        <v>0.05</v>
      </c>
      <c r="D6" t="s">
        <v>16</v>
      </c>
      <c r="E6" t="s">
        <v>19</v>
      </c>
      <c r="F6">
        <v>0</v>
      </c>
      <c r="G6">
        <v>50</v>
      </c>
    </row>
    <row r="7" spans="1:20" x14ac:dyDescent="0.35">
      <c r="B7" t="s">
        <v>5</v>
      </c>
      <c r="C7" s="4">
        <v>0</v>
      </c>
      <c r="D7" t="s">
        <v>16</v>
      </c>
      <c r="E7" t="s">
        <v>18</v>
      </c>
      <c r="F7">
        <v>0</v>
      </c>
      <c r="G7">
        <v>200</v>
      </c>
    </row>
    <row r="8" spans="1:20" x14ac:dyDescent="0.35">
      <c r="B8" t="s">
        <v>5</v>
      </c>
      <c r="C8" s="4">
        <v>0.05</v>
      </c>
      <c r="D8" t="s">
        <v>21</v>
      </c>
      <c r="E8" t="s">
        <v>19</v>
      </c>
      <c r="F8">
        <v>0</v>
      </c>
      <c r="G8">
        <v>50</v>
      </c>
    </row>
    <row r="9" spans="1:20" x14ac:dyDescent="0.35">
      <c r="B9" t="s">
        <v>5</v>
      </c>
      <c r="C9" s="4">
        <v>0</v>
      </c>
      <c r="D9" t="s">
        <v>21</v>
      </c>
      <c r="E9" t="s">
        <v>18</v>
      </c>
      <c r="F9">
        <v>0</v>
      </c>
      <c r="G9">
        <v>200</v>
      </c>
    </row>
    <row r="10" spans="1:20" x14ac:dyDescent="0.35">
      <c r="B10" t="s">
        <v>5</v>
      </c>
      <c r="C10" s="4">
        <v>0.05</v>
      </c>
      <c r="D10" t="s">
        <v>22</v>
      </c>
      <c r="E10" t="s">
        <v>19</v>
      </c>
      <c r="F10">
        <v>0</v>
      </c>
      <c r="G10">
        <v>50</v>
      </c>
    </row>
    <row r="11" spans="1:20" x14ac:dyDescent="0.35">
      <c r="B11" t="s">
        <v>5</v>
      </c>
      <c r="C11" s="4">
        <v>0</v>
      </c>
      <c r="D11" t="s">
        <v>22</v>
      </c>
      <c r="E11" t="s">
        <v>18</v>
      </c>
      <c r="F11">
        <v>0</v>
      </c>
      <c r="G11">
        <v>200</v>
      </c>
    </row>
    <row r="12" spans="1:20" x14ac:dyDescent="0.35">
      <c r="B12" t="s">
        <v>9</v>
      </c>
      <c r="C12" s="4">
        <v>0.05</v>
      </c>
      <c r="D12" t="s">
        <v>14</v>
      </c>
      <c r="E12" t="s">
        <v>19</v>
      </c>
      <c r="F12">
        <v>0</v>
      </c>
      <c r="G12">
        <v>50</v>
      </c>
    </row>
    <row r="13" spans="1:20" x14ac:dyDescent="0.35">
      <c r="B13" t="s">
        <v>9</v>
      </c>
      <c r="C13" s="4">
        <v>0</v>
      </c>
      <c r="D13" t="s">
        <v>14</v>
      </c>
      <c r="E13" t="s">
        <v>18</v>
      </c>
      <c r="F13">
        <v>0</v>
      </c>
      <c r="G13">
        <v>200</v>
      </c>
    </row>
    <row r="14" spans="1:20" x14ac:dyDescent="0.35">
      <c r="B14" t="s">
        <v>9</v>
      </c>
      <c r="C14" s="4">
        <v>0.05</v>
      </c>
      <c r="D14" t="s">
        <v>15</v>
      </c>
      <c r="E14" t="s">
        <v>19</v>
      </c>
      <c r="F14">
        <v>0</v>
      </c>
      <c r="G14">
        <v>50</v>
      </c>
    </row>
    <row r="15" spans="1:20" x14ac:dyDescent="0.35">
      <c r="B15" t="s">
        <v>9</v>
      </c>
      <c r="C15" s="4">
        <v>0</v>
      </c>
      <c r="D15" t="s">
        <v>15</v>
      </c>
      <c r="E15" t="s">
        <v>18</v>
      </c>
      <c r="F15">
        <v>0</v>
      </c>
      <c r="G15">
        <v>200</v>
      </c>
    </row>
    <row r="16" spans="1:20" x14ac:dyDescent="0.35">
      <c r="B16" t="s">
        <v>9</v>
      </c>
      <c r="C16" s="4">
        <v>0.05</v>
      </c>
      <c r="D16" t="s">
        <v>16</v>
      </c>
      <c r="E16" t="s">
        <v>19</v>
      </c>
      <c r="F16">
        <v>0</v>
      </c>
      <c r="G16">
        <v>50</v>
      </c>
    </row>
    <row r="17" spans="2:7" x14ac:dyDescent="0.35">
      <c r="B17" t="s">
        <v>9</v>
      </c>
      <c r="C17" s="4">
        <v>0</v>
      </c>
      <c r="D17" t="s">
        <v>16</v>
      </c>
      <c r="E17" t="s">
        <v>18</v>
      </c>
      <c r="F17">
        <v>0</v>
      </c>
      <c r="G17">
        <v>200</v>
      </c>
    </row>
    <row r="18" spans="2:7" x14ac:dyDescent="0.35">
      <c r="B18" t="s">
        <v>9</v>
      </c>
      <c r="C18" s="4">
        <v>0.05</v>
      </c>
      <c r="D18" t="s">
        <v>21</v>
      </c>
      <c r="E18" t="s">
        <v>19</v>
      </c>
      <c r="F18">
        <v>0</v>
      </c>
      <c r="G18">
        <v>50</v>
      </c>
    </row>
    <row r="19" spans="2:7" x14ac:dyDescent="0.35">
      <c r="B19" t="s">
        <v>9</v>
      </c>
      <c r="C19" s="4">
        <v>0</v>
      </c>
      <c r="D19" t="s">
        <v>21</v>
      </c>
      <c r="E19" t="s">
        <v>18</v>
      </c>
      <c r="F19">
        <v>0</v>
      </c>
      <c r="G19">
        <v>200</v>
      </c>
    </row>
    <row r="20" spans="2:7" x14ac:dyDescent="0.35">
      <c r="B20" t="s">
        <v>9</v>
      </c>
      <c r="C20" s="4">
        <v>0.05</v>
      </c>
      <c r="D20" t="s">
        <v>22</v>
      </c>
      <c r="E20" t="s">
        <v>19</v>
      </c>
      <c r="F20">
        <v>0</v>
      </c>
      <c r="G20">
        <v>50</v>
      </c>
    </row>
    <row r="21" spans="2:7" x14ac:dyDescent="0.35">
      <c r="B21" t="s">
        <v>9</v>
      </c>
      <c r="C21" s="4">
        <v>0</v>
      </c>
      <c r="D21" t="s">
        <v>22</v>
      </c>
      <c r="E21" t="s">
        <v>18</v>
      </c>
      <c r="F21">
        <v>0</v>
      </c>
      <c r="G21">
        <v>200</v>
      </c>
    </row>
    <row r="22" spans="2:7" x14ac:dyDescent="0.35">
      <c r="B22" t="s">
        <v>6</v>
      </c>
      <c r="C22" s="4">
        <v>0.05</v>
      </c>
      <c r="D22" t="s">
        <v>14</v>
      </c>
      <c r="E22" t="s">
        <v>19</v>
      </c>
      <c r="F22">
        <v>0</v>
      </c>
      <c r="G22">
        <v>50</v>
      </c>
    </row>
    <row r="23" spans="2:7" x14ac:dyDescent="0.35">
      <c r="B23" t="s">
        <v>6</v>
      </c>
      <c r="C23" s="4">
        <v>0</v>
      </c>
      <c r="D23" t="s">
        <v>14</v>
      </c>
      <c r="E23" t="s">
        <v>18</v>
      </c>
      <c r="F23">
        <v>0</v>
      </c>
      <c r="G23">
        <v>200</v>
      </c>
    </row>
    <row r="24" spans="2:7" x14ac:dyDescent="0.35">
      <c r="B24" t="s">
        <v>6</v>
      </c>
      <c r="C24" s="4">
        <v>0.05</v>
      </c>
      <c r="D24" t="s">
        <v>15</v>
      </c>
      <c r="E24" t="s">
        <v>19</v>
      </c>
      <c r="F24">
        <v>0</v>
      </c>
      <c r="G24">
        <v>50</v>
      </c>
    </row>
    <row r="25" spans="2:7" x14ac:dyDescent="0.35">
      <c r="B25" t="s">
        <v>6</v>
      </c>
      <c r="C25" s="4">
        <v>0</v>
      </c>
      <c r="D25" t="s">
        <v>15</v>
      </c>
      <c r="E25" t="s">
        <v>18</v>
      </c>
      <c r="F25">
        <v>0</v>
      </c>
      <c r="G25">
        <v>200</v>
      </c>
    </row>
    <row r="26" spans="2:7" x14ac:dyDescent="0.35">
      <c r="B26" t="s">
        <v>6</v>
      </c>
      <c r="C26" s="4">
        <v>0.05</v>
      </c>
      <c r="D26" t="s">
        <v>16</v>
      </c>
      <c r="E26" t="s">
        <v>19</v>
      </c>
      <c r="F26">
        <v>0</v>
      </c>
      <c r="G26">
        <v>50</v>
      </c>
    </row>
    <row r="27" spans="2:7" x14ac:dyDescent="0.35">
      <c r="B27" t="s">
        <v>6</v>
      </c>
      <c r="C27" s="4">
        <v>0</v>
      </c>
      <c r="D27" t="s">
        <v>16</v>
      </c>
      <c r="E27" t="s">
        <v>18</v>
      </c>
      <c r="F27">
        <v>0</v>
      </c>
      <c r="G27">
        <v>200</v>
      </c>
    </row>
    <row r="28" spans="2:7" x14ac:dyDescent="0.35">
      <c r="B28" t="s">
        <v>6</v>
      </c>
      <c r="C28" s="4">
        <v>0.05</v>
      </c>
      <c r="D28" t="s">
        <v>21</v>
      </c>
      <c r="E28" t="s">
        <v>19</v>
      </c>
      <c r="F28">
        <v>0</v>
      </c>
      <c r="G28">
        <v>50</v>
      </c>
    </row>
    <row r="29" spans="2:7" x14ac:dyDescent="0.35">
      <c r="B29" t="s">
        <v>6</v>
      </c>
      <c r="C29" s="4">
        <v>0</v>
      </c>
      <c r="D29" t="s">
        <v>21</v>
      </c>
      <c r="E29" t="s">
        <v>18</v>
      </c>
      <c r="F29">
        <v>0</v>
      </c>
      <c r="G29">
        <v>200</v>
      </c>
    </row>
    <row r="30" spans="2:7" x14ac:dyDescent="0.35">
      <c r="B30" t="s">
        <v>6</v>
      </c>
      <c r="C30" s="4">
        <v>0.05</v>
      </c>
      <c r="D30" t="s">
        <v>22</v>
      </c>
      <c r="E30" t="s">
        <v>19</v>
      </c>
      <c r="F30">
        <v>0</v>
      </c>
      <c r="G30">
        <v>50</v>
      </c>
    </row>
    <row r="31" spans="2:7" x14ac:dyDescent="0.35">
      <c r="B31" t="s">
        <v>6</v>
      </c>
      <c r="C31" s="4">
        <v>0</v>
      </c>
      <c r="D31" t="s">
        <v>22</v>
      </c>
      <c r="E31" t="s">
        <v>18</v>
      </c>
      <c r="F31">
        <v>0</v>
      </c>
      <c r="G31">
        <v>200</v>
      </c>
    </row>
    <row r="32" spans="2:7" x14ac:dyDescent="0.35">
      <c r="B32" t="s">
        <v>8</v>
      </c>
      <c r="C32" s="4">
        <v>0.05</v>
      </c>
      <c r="D32" t="s">
        <v>14</v>
      </c>
      <c r="E32" t="s">
        <v>19</v>
      </c>
      <c r="F32">
        <v>0</v>
      </c>
      <c r="G32">
        <v>50</v>
      </c>
    </row>
    <row r="33" spans="2:7" x14ac:dyDescent="0.35">
      <c r="B33" t="s">
        <v>8</v>
      </c>
      <c r="C33" s="4">
        <v>0</v>
      </c>
      <c r="D33" t="s">
        <v>14</v>
      </c>
      <c r="E33" t="s">
        <v>18</v>
      </c>
      <c r="F33">
        <v>0</v>
      </c>
      <c r="G33">
        <v>200</v>
      </c>
    </row>
    <row r="34" spans="2:7" x14ac:dyDescent="0.35">
      <c r="B34" t="s">
        <v>8</v>
      </c>
      <c r="C34" s="4">
        <v>0.05</v>
      </c>
      <c r="D34" t="s">
        <v>15</v>
      </c>
      <c r="E34" t="s">
        <v>19</v>
      </c>
      <c r="F34">
        <v>0</v>
      </c>
      <c r="G34">
        <v>50</v>
      </c>
    </row>
    <row r="35" spans="2:7" x14ac:dyDescent="0.35">
      <c r="B35" t="s">
        <v>8</v>
      </c>
      <c r="C35" s="4">
        <v>0</v>
      </c>
      <c r="D35" t="s">
        <v>15</v>
      </c>
      <c r="E35" t="s">
        <v>18</v>
      </c>
      <c r="F35">
        <v>0</v>
      </c>
      <c r="G35">
        <v>200</v>
      </c>
    </row>
    <row r="36" spans="2:7" x14ac:dyDescent="0.35">
      <c r="B36" t="s">
        <v>8</v>
      </c>
      <c r="C36" s="4">
        <v>0.05</v>
      </c>
      <c r="D36" t="s">
        <v>16</v>
      </c>
      <c r="E36" t="s">
        <v>19</v>
      </c>
      <c r="F36">
        <v>0</v>
      </c>
      <c r="G36">
        <v>50</v>
      </c>
    </row>
    <row r="37" spans="2:7" x14ac:dyDescent="0.35">
      <c r="B37" t="s">
        <v>8</v>
      </c>
      <c r="C37" s="4">
        <v>0</v>
      </c>
      <c r="D37" t="s">
        <v>16</v>
      </c>
      <c r="E37" t="s">
        <v>18</v>
      </c>
      <c r="F37">
        <v>0</v>
      </c>
      <c r="G37">
        <v>200</v>
      </c>
    </row>
    <row r="38" spans="2:7" x14ac:dyDescent="0.35">
      <c r="B38" t="s">
        <v>8</v>
      </c>
      <c r="C38" s="4">
        <v>0.05</v>
      </c>
      <c r="D38" t="s">
        <v>21</v>
      </c>
      <c r="E38" t="s">
        <v>19</v>
      </c>
      <c r="F38">
        <v>0</v>
      </c>
      <c r="G38">
        <v>50</v>
      </c>
    </row>
    <row r="39" spans="2:7" x14ac:dyDescent="0.35">
      <c r="B39" t="s">
        <v>8</v>
      </c>
      <c r="C39" s="4">
        <v>0</v>
      </c>
      <c r="D39" t="s">
        <v>21</v>
      </c>
      <c r="E39" t="s">
        <v>18</v>
      </c>
      <c r="F39">
        <v>0</v>
      </c>
      <c r="G39">
        <v>200</v>
      </c>
    </row>
    <row r="40" spans="2:7" x14ac:dyDescent="0.35">
      <c r="B40" t="s">
        <v>8</v>
      </c>
      <c r="C40" s="4">
        <v>0.05</v>
      </c>
      <c r="D40" t="s">
        <v>22</v>
      </c>
      <c r="E40" t="s">
        <v>19</v>
      </c>
      <c r="F40">
        <v>0</v>
      </c>
      <c r="G40">
        <v>50</v>
      </c>
    </row>
    <row r="41" spans="2:7" x14ac:dyDescent="0.35">
      <c r="B41" t="s">
        <v>8</v>
      </c>
      <c r="C41" s="4">
        <v>0</v>
      </c>
      <c r="D41" t="s">
        <v>22</v>
      </c>
      <c r="E41" t="s">
        <v>18</v>
      </c>
      <c r="F41">
        <v>0</v>
      </c>
      <c r="G41">
        <v>200</v>
      </c>
    </row>
    <row r="42" spans="2:7" x14ac:dyDescent="0.35">
      <c r="B42" t="s">
        <v>7</v>
      </c>
      <c r="C42" s="4">
        <v>0.05</v>
      </c>
      <c r="D42" t="s">
        <v>14</v>
      </c>
      <c r="E42" t="s">
        <v>19</v>
      </c>
      <c r="F42">
        <v>0</v>
      </c>
      <c r="G42">
        <v>50</v>
      </c>
    </row>
    <row r="43" spans="2:7" x14ac:dyDescent="0.35">
      <c r="B43" t="s">
        <v>7</v>
      </c>
      <c r="C43" s="4">
        <v>0</v>
      </c>
      <c r="D43" t="s">
        <v>14</v>
      </c>
      <c r="E43" t="s">
        <v>18</v>
      </c>
      <c r="F43">
        <v>0</v>
      </c>
      <c r="G43">
        <v>200</v>
      </c>
    </row>
    <row r="44" spans="2:7" x14ac:dyDescent="0.35">
      <c r="B44" t="s">
        <v>7</v>
      </c>
      <c r="C44" s="4">
        <v>0.05</v>
      </c>
      <c r="D44" t="s">
        <v>15</v>
      </c>
      <c r="E44" t="s">
        <v>19</v>
      </c>
      <c r="F44">
        <v>0</v>
      </c>
      <c r="G44">
        <v>50</v>
      </c>
    </row>
    <row r="45" spans="2:7" x14ac:dyDescent="0.35">
      <c r="B45" t="s">
        <v>7</v>
      </c>
      <c r="C45" s="4">
        <v>0</v>
      </c>
      <c r="D45" t="s">
        <v>15</v>
      </c>
      <c r="E45" t="s">
        <v>18</v>
      </c>
      <c r="F45">
        <v>0</v>
      </c>
      <c r="G45">
        <v>200</v>
      </c>
    </row>
    <row r="46" spans="2:7" x14ac:dyDescent="0.35">
      <c r="B46" t="s">
        <v>7</v>
      </c>
      <c r="C46" s="4">
        <v>0.05</v>
      </c>
      <c r="D46" t="s">
        <v>16</v>
      </c>
      <c r="E46" t="s">
        <v>19</v>
      </c>
      <c r="F46">
        <v>0</v>
      </c>
      <c r="G46">
        <v>50</v>
      </c>
    </row>
    <row r="47" spans="2:7" x14ac:dyDescent="0.35">
      <c r="B47" t="s">
        <v>7</v>
      </c>
      <c r="C47" s="4">
        <v>0</v>
      </c>
      <c r="D47" t="s">
        <v>16</v>
      </c>
      <c r="E47" t="s">
        <v>18</v>
      </c>
      <c r="F47">
        <v>0</v>
      </c>
      <c r="G47">
        <v>200</v>
      </c>
    </row>
    <row r="48" spans="2:7" x14ac:dyDescent="0.35">
      <c r="B48" t="s">
        <v>7</v>
      </c>
      <c r="C48" s="4">
        <v>0.05</v>
      </c>
      <c r="D48" t="s">
        <v>21</v>
      </c>
      <c r="E48" t="s">
        <v>19</v>
      </c>
      <c r="F48">
        <v>0</v>
      </c>
      <c r="G48">
        <v>50</v>
      </c>
    </row>
    <row r="49" spans="2:7" x14ac:dyDescent="0.35">
      <c r="B49" t="s">
        <v>7</v>
      </c>
      <c r="C49" s="4">
        <v>0</v>
      </c>
      <c r="D49" t="s">
        <v>21</v>
      </c>
      <c r="E49" t="s">
        <v>18</v>
      </c>
      <c r="F49">
        <v>0</v>
      </c>
      <c r="G49">
        <v>200</v>
      </c>
    </row>
    <row r="50" spans="2:7" x14ac:dyDescent="0.35">
      <c r="B50" t="s">
        <v>7</v>
      </c>
      <c r="C50" s="4">
        <v>0.05</v>
      </c>
      <c r="D50" t="s">
        <v>22</v>
      </c>
      <c r="E50" t="s">
        <v>19</v>
      </c>
      <c r="F50">
        <v>0</v>
      </c>
      <c r="G50">
        <v>50</v>
      </c>
    </row>
    <row r="51" spans="2:7" x14ac:dyDescent="0.35">
      <c r="B51" t="s">
        <v>7</v>
      </c>
      <c r="C51" s="4">
        <v>0</v>
      </c>
      <c r="D51" t="s">
        <v>22</v>
      </c>
      <c r="E51" t="s">
        <v>18</v>
      </c>
      <c r="F51">
        <v>0</v>
      </c>
      <c r="G51">
        <v>200</v>
      </c>
    </row>
    <row r="52" spans="2:7" x14ac:dyDescent="0.35">
      <c r="C52" s="4"/>
    </row>
    <row r="53" spans="2:7" x14ac:dyDescent="0.35">
      <c r="C53" s="4"/>
    </row>
    <row r="54" spans="2:7" x14ac:dyDescent="0.35">
      <c r="C54" s="4"/>
    </row>
    <row r="55" spans="2:7" x14ac:dyDescent="0.35">
      <c r="C55" s="4"/>
    </row>
    <row r="56" spans="2:7" x14ac:dyDescent="0.35">
      <c r="C56" s="4"/>
    </row>
    <row r="57" spans="2:7" x14ac:dyDescent="0.35">
      <c r="C57" s="4"/>
    </row>
    <row r="58" spans="2:7" x14ac:dyDescent="0.35">
      <c r="C58" s="4"/>
    </row>
    <row r="59" spans="2:7" x14ac:dyDescent="0.35">
      <c r="C59" s="4"/>
    </row>
    <row r="60" spans="2:7" x14ac:dyDescent="0.35">
      <c r="C60" s="4"/>
    </row>
    <row r="61" spans="2:7" x14ac:dyDescent="0.35">
      <c r="C61" s="4"/>
    </row>
    <row r="62" spans="2:7" x14ac:dyDescent="0.35">
      <c r="C62" s="4"/>
    </row>
    <row r="63" spans="2:7" x14ac:dyDescent="0.35">
      <c r="C63" s="4"/>
    </row>
    <row r="64" spans="2:7" x14ac:dyDescent="0.35">
      <c r="C64" s="4"/>
    </row>
    <row r="65" spans="3:3" x14ac:dyDescent="0.35">
      <c r="C65" s="4"/>
    </row>
    <row r="66" spans="3:3" x14ac:dyDescent="0.35">
      <c r="C66" s="4"/>
    </row>
    <row r="67" spans="3:3" x14ac:dyDescent="0.35">
      <c r="C67" s="4"/>
    </row>
    <row r="68" spans="3:3" x14ac:dyDescent="0.35">
      <c r="C68" s="4"/>
    </row>
    <row r="69" spans="3:3" x14ac:dyDescent="0.35">
      <c r="C69" s="4"/>
    </row>
    <row r="70" spans="3:3" x14ac:dyDescent="0.35">
      <c r="C70" s="4"/>
    </row>
    <row r="71" spans="3:3" x14ac:dyDescent="0.35">
      <c r="C71" s="4"/>
    </row>
    <row r="72" spans="3:3" x14ac:dyDescent="0.35">
      <c r="C72" s="4"/>
    </row>
    <row r="73" spans="3:3" x14ac:dyDescent="0.35">
      <c r="C73" s="4"/>
    </row>
    <row r="74" spans="3:3" x14ac:dyDescent="0.35">
      <c r="C74" s="4"/>
    </row>
    <row r="75" spans="3:3" x14ac:dyDescent="0.35">
      <c r="C75" s="4"/>
    </row>
    <row r="76" spans="3:3" x14ac:dyDescent="0.35">
      <c r="C76" s="4"/>
    </row>
    <row r="77" spans="3:3" x14ac:dyDescent="0.35">
      <c r="C77" s="4"/>
    </row>
    <row r="78" spans="3:3" x14ac:dyDescent="0.35">
      <c r="C78" s="4"/>
    </row>
    <row r="79" spans="3:3" x14ac:dyDescent="0.35">
      <c r="C79" s="4"/>
    </row>
    <row r="80" spans="3:3" x14ac:dyDescent="0.35">
      <c r="C80" s="4"/>
    </row>
    <row r="81" spans="3:3" x14ac:dyDescent="0.35">
      <c r="C81" s="4"/>
    </row>
    <row r="82" spans="3:3" x14ac:dyDescent="0.35">
      <c r="C82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E4EF8-03C4-47FE-B40E-09A106D07981}">
  <dimension ref="A1:D10"/>
  <sheetViews>
    <sheetView workbookViewId="0">
      <selection activeCell="E23" sqref="E23"/>
    </sheetView>
  </sheetViews>
  <sheetFormatPr defaultRowHeight="14.5" x14ac:dyDescent="0.35"/>
  <cols>
    <col min="3" max="3" width="12" bestFit="1" customWidth="1"/>
  </cols>
  <sheetData>
    <row r="1" spans="1:4" x14ac:dyDescent="0.35">
      <c r="B1" t="s">
        <v>33</v>
      </c>
      <c r="C1" t="s">
        <v>34</v>
      </c>
    </row>
    <row r="2" spans="1:4" x14ac:dyDescent="0.35">
      <c r="A2" t="s">
        <v>24</v>
      </c>
      <c r="B2">
        <v>54.16</v>
      </c>
      <c r="C2" s="5">
        <f>B2/1.195</f>
        <v>45.322175732217566</v>
      </c>
    </row>
    <row r="3" spans="1:4" x14ac:dyDescent="0.35">
      <c r="A3" t="s">
        <v>25</v>
      </c>
      <c r="B3">
        <v>52.15</v>
      </c>
      <c r="C3" s="5">
        <f t="shared" ref="C3:C10" si="0">B3/1.195</f>
        <v>43.640167364016733</v>
      </c>
    </row>
    <row r="4" spans="1:4" x14ac:dyDescent="0.35">
      <c r="A4" t="s">
        <v>26</v>
      </c>
      <c r="B4">
        <v>106.8</v>
      </c>
      <c r="C4" s="5">
        <f t="shared" si="0"/>
        <v>89.372384937238493</v>
      </c>
    </row>
    <row r="5" spans="1:4" x14ac:dyDescent="0.35">
      <c r="A5" t="s">
        <v>28</v>
      </c>
      <c r="B5">
        <v>112.2</v>
      </c>
      <c r="C5" s="5">
        <f t="shared" si="0"/>
        <v>93.891213389121333</v>
      </c>
    </row>
    <row r="6" spans="1:4" x14ac:dyDescent="0.35">
      <c r="A6" t="s">
        <v>27</v>
      </c>
      <c r="B6">
        <v>2493.6</v>
      </c>
      <c r="C6" s="5">
        <f t="shared" si="0"/>
        <v>2086.6945606694558</v>
      </c>
      <c r="D6" t="s">
        <v>35</v>
      </c>
    </row>
    <row r="7" spans="1:4" x14ac:dyDescent="0.35">
      <c r="A7" t="s">
        <v>29</v>
      </c>
      <c r="B7">
        <v>236</v>
      </c>
      <c r="C7" s="5">
        <f t="shared" si="0"/>
        <v>197.48953974895397</v>
      </c>
    </row>
    <row r="8" spans="1:4" x14ac:dyDescent="0.35">
      <c r="A8" t="s">
        <v>30</v>
      </c>
      <c r="B8">
        <v>239</v>
      </c>
      <c r="C8">
        <f t="shared" si="0"/>
        <v>200</v>
      </c>
    </row>
    <row r="9" spans="1:4" x14ac:dyDescent="0.35">
      <c r="A9" t="s">
        <v>31</v>
      </c>
      <c r="B9">
        <v>239</v>
      </c>
      <c r="C9">
        <f t="shared" si="0"/>
        <v>200</v>
      </c>
    </row>
    <row r="10" spans="1:4" x14ac:dyDescent="0.35">
      <c r="A10" t="s">
        <v>32</v>
      </c>
      <c r="B10">
        <v>23.9</v>
      </c>
      <c r="C10">
        <f t="shared" si="0"/>
        <v>19.999999999999996</v>
      </c>
    </row>
  </sheetData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Excel.Sheet.12" shapeId="2049" r:id="rId3">
          <objectPr defaultSize="0" r:id="rId4">
            <anchor moveWithCells="1">
              <from>
                <xdr:col>8</xdr:col>
                <xdr:colOff>247650</xdr:colOff>
                <xdr:row>2</xdr:row>
                <xdr:rowOff>152400</xdr:rowOff>
              </from>
              <to>
                <xdr:col>13</xdr:col>
                <xdr:colOff>450850</xdr:colOff>
                <xdr:row>16</xdr:row>
                <xdr:rowOff>31750</xdr:rowOff>
              </to>
            </anchor>
          </objectPr>
        </oleObject>
      </mc:Choice>
      <mc:Fallback>
        <oleObject progId="Excel.Sheet.12" shapeId="2049" r:id="rId3"/>
      </mc:Fallback>
    </mc:AlternateContent>
  </oleObjec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51C29-A20D-4E3A-99A1-490674FEE959}">
  <dimension ref="A1:O72"/>
  <sheetViews>
    <sheetView tabSelected="1" workbookViewId="0">
      <selection activeCell="L19" sqref="L19"/>
    </sheetView>
  </sheetViews>
  <sheetFormatPr defaultRowHeight="14.5" x14ac:dyDescent="0.35"/>
  <cols>
    <col min="1" max="1" width="14" bestFit="1" customWidth="1"/>
    <col min="2" max="2" width="11.7265625" bestFit="1" customWidth="1"/>
    <col min="5" max="5" width="12.08984375" bestFit="1" customWidth="1"/>
    <col min="6" max="6" width="10.90625" customWidth="1"/>
    <col min="7" max="7" width="13" customWidth="1"/>
    <col min="11" max="11" width="12.453125" bestFit="1" customWidth="1"/>
    <col min="12" max="12" width="13.90625" bestFit="1" customWidth="1"/>
    <col min="13" max="13" width="14.90625" bestFit="1" customWidth="1"/>
    <col min="14" max="14" width="17.54296875" bestFit="1" customWidth="1"/>
    <col min="15" max="15" width="19.54296875" bestFit="1" customWidth="1"/>
  </cols>
  <sheetData>
    <row r="1" spans="1:7" x14ac:dyDescent="0.35">
      <c r="A1" s="14" t="s">
        <v>36</v>
      </c>
      <c r="B1" s="15" t="s">
        <v>37</v>
      </c>
      <c r="C1" s="15" t="s">
        <v>38</v>
      </c>
      <c r="D1" s="15" t="s">
        <v>23</v>
      </c>
      <c r="E1" s="15" t="s">
        <v>59</v>
      </c>
      <c r="F1" s="15" t="s">
        <v>60</v>
      </c>
      <c r="G1" s="15" t="s">
        <v>61</v>
      </c>
    </row>
    <row r="2" spans="1:7" ht="15" hidden="1" thickTop="1" x14ac:dyDescent="0.35">
      <c r="A2" s="16" t="s">
        <v>45</v>
      </c>
      <c r="B2" s="17" t="s">
        <v>39</v>
      </c>
      <c r="C2" s="17" t="s">
        <v>41</v>
      </c>
      <c r="D2" s="18">
        <v>70.881799999999998</v>
      </c>
      <c r="E2" s="19">
        <v>8.0158078411725396E-5</v>
      </c>
      <c r="F2" s="19">
        <v>3.0149357368290598E-4</v>
      </c>
      <c r="G2" s="19">
        <v>5.63382571350472E-4</v>
      </c>
    </row>
    <row r="3" spans="1:7" hidden="1" x14ac:dyDescent="0.35">
      <c r="A3" s="23" t="s">
        <v>45</v>
      </c>
      <c r="B3" s="13" t="s">
        <v>44</v>
      </c>
      <c r="C3" s="13" t="s">
        <v>41</v>
      </c>
      <c r="D3" s="24">
        <v>16.0017</v>
      </c>
      <c r="E3" s="25">
        <v>5.0852103951725701E-2</v>
      </c>
      <c r="F3" s="25">
        <v>0.34232484116550099</v>
      </c>
      <c r="G3" s="25">
        <v>0.67448009802876696</v>
      </c>
    </row>
    <row r="4" spans="1:7" hidden="1" x14ac:dyDescent="0.35">
      <c r="A4" s="20" t="s">
        <v>45</v>
      </c>
      <c r="B4" s="6" t="s">
        <v>39</v>
      </c>
      <c r="C4" s="6" t="s">
        <v>42</v>
      </c>
      <c r="D4" s="21">
        <v>61.017899999999997</v>
      </c>
      <c r="E4" s="22">
        <v>1.0708893831739E-4</v>
      </c>
      <c r="F4" s="22">
        <v>2.5131480007299601E-4</v>
      </c>
      <c r="G4" s="22">
        <v>4.22915047950317E-4</v>
      </c>
    </row>
    <row r="5" spans="1:7" hidden="1" x14ac:dyDescent="0.35">
      <c r="A5" s="20" t="s">
        <v>45</v>
      </c>
      <c r="B5" s="6" t="s">
        <v>44</v>
      </c>
      <c r="C5" s="6" t="s">
        <v>42</v>
      </c>
      <c r="D5" s="21">
        <v>17.398199999999999</v>
      </c>
      <c r="E5" s="22">
        <v>0.61338183564672499</v>
      </c>
      <c r="F5" s="22">
        <v>2.9628652746893702</v>
      </c>
      <c r="G5" s="22">
        <v>4.2693759980444002</v>
      </c>
    </row>
    <row r="6" spans="1:7" hidden="1" x14ac:dyDescent="0.35">
      <c r="A6" s="23" t="s">
        <v>45</v>
      </c>
      <c r="B6" s="13" t="s">
        <v>39</v>
      </c>
      <c r="C6" s="13" t="s">
        <v>43</v>
      </c>
      <c r="D6" s="24">
        <v>0.272123</v>
      </c>
      <c r="E6" s="25">
        <v>5.5376499405338701E-4</v>
      </c>
      <c r="F6" s="25">
        <v>1.5675444224314201E-3</v>
      </c>
      <c r="G6" s="25">
        <v>2.7592100881690998E-3</v>
      </c>
    </row>
    <row r="7" spans="1:7" hidden="1" x14ac:dyDescent="0.35">
      <c r="A7" s="23" t="s">
        <v>45</v>
      </c>
      <c r="B7" s="13" t="s">
        <v>44</v>
      </c>
      <c r="C7" s="13" t="s">
        <v>43</v>
      </c>
      <c r="D7" s="24">
        <v>7.5115100000000004E-2</v>
      </c>
      <c r="E7" s="25">
        <v>0.23048247046100401</v>
      </c>
      <c r="F7" s="25">
        <v>1.5515994839971401</v>
      </c>
      <c r="G7" s="25">
        <v>2.9870621343039798</v>
      </c>
    </row>
    <row r="8" spans="1:7" hidden="1" x14ac:dyDescent="0.35">
      <c r="A8" s="20" t="s">
        <v>45</v>
      </c>
      <c r="B8" s="6" t="s">
        <v>39</v>
      </c>
      <c r="C8" s="6" t="s">
        <v>16</v>
      </c>
      <c r="D8" s="21">
        <v>13.916399999999999</v>
      </c>
      <c r="E8" s="22">
        <v>7.4497472269780495E-5</v>
      </c>
      <c r="F8" s="22">
        <v>3.65258340649205E-4</v>
      </c>
      <c r="G8" s="22">
        <v>4.7883756930836501E-4</v>
      </c>
    </row>
    <row r="9" spans="1:7" hidden="1" x14ac:dyDescent="0.35">
      <c r="A9" s="20" t="s">
        <v>45</v>
      </c>
      <c r="B9" s="6" t="s">
        <v>44</v>
      </c>
      <c r="C9" s="6" t="s">
        <v>16</v>
      </c>
      <c r="D9" s="21">
        <v>5.0377299999999998</v>
      </c>
      <c r="E9" s="22">
        <v>6.2147256965994498E-2</v>
      </c>
      <c r="F9" s="22">
        <v>0.75542110204059698</v>
      </c>
      <c r="G9" s="22">
        <v>1.3574724764266599</v>
      </c>
    </row>
    <row r="10" spans="1:7" hidden="1" x14ac:dyDescent="0.35">
      <c r="A10" s="23" t="s">
        <v>45</v>
      </c>
      <c r="B10" s="13" t="s">
        <v>39</v>
      </c>
      <c r="C10" s="13" t="s">
        <v>40</v>
      </c>
      <c r="D10" s="24">
        <v>12.635400000000001</v>
      </c>
      <c r="E10" s="25">
        <v>1.82414863568795E-4</v>
      </c>
      <c r="F10" s="25">
        <v>9.4711775251927197E-4</v>
      </c>
      <c r="G10" s="25">
        <v>1.22394752256336E-3</v>
      </c>
    </row>
    <row r="11" spans="1:7" hidden="1" x14ac:dyDescent="0.35">
      <c r="A11" s="23" t="s">
        <v>45</v>
      </c>
      <c r="B11" s="13" t="s">
        <v>44</v>
      </c>
      <c r="C11" s="13" t="s">
        <v>40</v>
      </c>
      <c r="D11" s="24">
        <v>3.9053200000000001</v>
      </c>
      <c r="E11" s="25">
        <v>6.6219476715996706E-2</v>
      </c>
      <c r="F11" s="25">
        <v>0.41891422090307801</v>
      </c>
      <c r="G11" s="25">
        <v>0.809559330529667</v>
      </c>
    </row>
    <row r="12" spans="1:7" hidden="1" x14ac:dyDescent="0.35">
      <c r="A12" s="20" t="s">
        <v>45</v>
      </c>
      <c r="B12" s="6" t="s">
        <v>64</v>
      </c>
      <c r="C12" s="6" t="s">
        <v>58</v>
      </c>
      <c r="D12" s="21">
        <v>1.9495819000000001</v>
      </c>
      <c r="E12" s="22">
        <v>0.250117713343676</v>
      </c>
      <c r="F12" s="22">
        <v>1.5741567529357801</v>
      </c>
      <c r="G12" s="22">
        <v>2.8632267143095902</v>
      </c>
    </row>
    <row r="13" spans="1:7" hidden="1" x14ac:dyDescent="0.35">
      <c r="A13" s="20" t="s">
        <v>45</v>
      </c>
      <c r="B13" s="6" t="s">
        <v>62</v>
      </c>
      <c r="C13" s="6" t="s">
        <v>58</v>
      </c>
      <c r="D13" s="21">
        <v>0.54042769999999996</v>
      </c>
      <c r="E13" s="22">
        <v>0.217587732167494</v>
      </c>
      <c r="F13" s="22">
        <v>1.40379689424623</v>
      </c>
      <c r="G13" s="22">
        <v>2.72814040764188</v>
      </c>
    </row>
    <row r="14" spans="1:7" x14ac:dyDescent="0.35">
      <c r="A14" s="23" t="s">
        <v>48</v>
      </c>
      <c r="B14" s="13" t="s">
        <v>39</v>
      </c>
      <c r="C14" s="13" t="s">
        <v>41</v>
      </c>
      <c r="D14" s="24">
        <v>36.898899999999998</v>
      </c>
      <c r="E14" s="25">
        <v>2.5091416902881399E-3</v>
      </c>
      <c r="F14" s="25">
        <v>7.2222514734408497E-3</v>
      </c>
      <c r="G14" s="25">
        <v>1.4113510787013899E-2</v>
      </c>
    </row>
    <row r="15" spans="1:7" x14ac:dyDescent="0.35">
      <c r="A15" s="23" t="s">
        <v>48</v>
      </c>
      <c r="B15" s="13" t="s">
        <v>44</v>
      </c>
      <c r="C15" s="13" t="s">
        <v>41</v>
      </c>
      <c r="D15" s="24">
        <v>7.8173300000000001</v>
      </c>
      <c r="E15" s="25">
        <v>0.801291367502725</v>
      </c>
      <c r="F15" s="25">
        <v>2.88919091353198</v>
      </c>
      <c r="G15" s="25">
        <v>5.37246542255048</v>
      </c>
    </row>
    <row r="16" spans="1:7" x14ac:dyDescent="0.35">
      <c r="A16" s="20" t="s">
        <v>48</v>
      </c>
      <c r="B16" s="6" t="s">
        <v>39</v>
      </c>
      <c r="C16" s="6" t="s">
        <v>42</v>
      </c>
      <c r="D16" s="21">
        <v>47.877200000000002</v>
      </c>
      <c r="E16" s="22">
        <v>5.5010172994750901E-3</v>
      </c>
      <c r="F16" s="22">
        <v>1.6524525225234801E-2</v>
      </c>
      <c r="G16" s="22">
        <v>2.7843177139354601E-2</v>
      </c>
    </row>
    <row r="17" spans="1:7" x14ac:dyDescent="0.35">
      <c r="A17" s="20" t="s">
        <v>48</v>
      </c>
      <c r="B17" s="6" t="s">
        <v>44</v>
      </c>
      <c r="C17" s="6" t="s">
        <v>42</v>
      </c>
      <c r="D17" s="21">
        <v>7.7334100000000001</v>
      </c>
      <c r="E17" s="22">
        <v>0.96598603616919898</v>
      </c>
      <c r="F17" s="22">
        <v>3.5582416127633998</v>
      </c>
      <c r="G17" s="22">
        <v>6.28696568810778</v>
      </c>
    </row>
    <row r="18" spans="1:7" x14ac:dyDescent="0.35">
      <c r="A18" s="23" t="s">
        <v>48</v>
      </c>
      <c r="B18" s="13" t="s">
        <v>39</v>
      </c>
      <c r="C18" s="13" t="s">
        <v>43</v>
      </c>
      <c r="D18" s="24">
        <v>0.26216699999999998</v>
      </c>
      <c r="E18" s="25">
        <v>6.6681803044133896E-3</v>
      </c>
      <c r="F18" s="25">
        <v>2.0590593675692499E-2</v>
      </c>
      <c r="G18" s="25">
        <v>2.3637880091791501E-2</v>
      </c>
    </row>
    <row r="19" spans="1:7" x14ac:dyDescent="0.35">
      <c r="A19" s="23" t="s">
        <v>48</v>
      </c>
      <c r="B19" s="13" t="s">
        <v>44</v>
      </c>
      <c r="C19" s="13" t="s">
        <v>43</v>
      </c>
      <c r="D19" s="24">
        <v>0.326992</v>
      </c>
      <c r="E19" s="25">
        <v>2.4102050946459301</v>
      </c>
      <c r="F19" s="25">
        <v>5.2920800991820203</v>
      </c>
      <c r="G19" s="25">
        <v>6.77487680978372</v>
      </c>
    </row>
    <row r="20" spans="1:7" x14ac:dyDescent="0.35">
      <c r="A20" s="20" t="s">
        <v>48</v>
      </c>
      <c r="B20" s="6" t="s">
        <v>39</v>
      </c>
      <c r="C20" s="6" t="s">
        <v>16</v>
      </c>
      <c r="D20" s="21">
        <v>1.80654</v>
      </c>
      <c r="E20" s="22">
        <v>2.6246408285867402E-3</v>
      </c>
      <c r="F20" s="22">
        <v>7.3498517231258102E-3</v>
      </c>
      <c r="G20" s="22">
        <v>1.4359291311023901E-2</v>
      </c>
    </row>
    <row r="21" spans="1:7" x14ac:dyDescent="0.35">
      <c r="A21" s="20" t="s">
        <v>48</v>
      </c>
      <c r="B21" s="6" t="s">
        <v>44</v>
      </c>
      <c r="C21" s="6" t="s">
        <v>16</v>
      </c>
      <c r="D21" s="21">
        <v>2.6439900000000001</v>
      </c>
      <c r="E21" s="22">
        <v>0.77456738695982197</v>
      </c>
      <c r="F21" s="22">
        <v>2.88986608068537</v>
      </c>
      <c r="G21" s="22">
        <v>5.3199692641874696</v>
      </c>
    </row>
    <row r="22" spans="1:7" x14ac:dyDescent="0.35">
      <c r="A22" s="23" t="s">
        <v>48</v>
      </c>
      <c r="B22" s="13" t="s">
        <v>39</v>
      </c>
      <c r="C22" s="13" t="s">
        <v>40</v>
      </c>
      <c r="D22" s="24">
        <v>2.7180300000000002</v>
      </c>
      <c r="E22" s="25">
        <v>2.6246393560013302E-3</v>
      </c>
      <c r="F22" s="25">
        <v>7.3498541312440697E-3</v>
      </c>
      <c r="G22" s="25">
        <v>1.4359288182437299E-2</v>
      </c>
    </row>
    <row r="23" spans="1:7" x14ac:dyDescent="0.35">
      <c r="A23" s="23" t="s">
        <v>48</v>
      </c>
      <c r="B23" s="13" t="s">
        <v>44</v>
      </c>
      <c r="C23" s="13" t="s">
        <v>40</v>
      </c>
      <c r="D23" s="24">
        <v>0.98388299999999995</v>
      </c>
      <c r="E23" s="25">
        <v>0.65760417888491196</v>
      </c>
      <c r="F23" s="25">
        <v>2.4889104970683902</v>
      </c>
      <c r="G23" s="25">
        <v>4.9520824509459498</v>
      </c>
    </row>
    <row r="24" spans="1:7" x14ac:dyDescent="0.35">
      <c r="A24" s="20" t="s">
        <v>48</v>
      </c>
      <c r="B24" s="6" t="s">
        <v>64</v>
      </c>
      <c r="C24" s="6" t="s">
        <v>58</v>
      </c>
      <c r="D24" s="21">
        <v>4.3649449000000002</v>
      </c>
      <c r="E24" s="22">
        <v>3.01868263179329E-3</v>
      </c>
      <c r="F24" s="22">
        <v>9.0967723677438505E-3</v>
      </c>
      <c r="G24" s="22">
        <v>1.7050883086645801E-2</v>
      </c>
    </row>
    <row r="25" spans="1:7" x14ac:dyDescent="0.35">
      <c r="A25" s="20" t="s">
        <v>48</v>
      </c>
      <c r="B25" s="6" t="s">
        <v>62</v>
      </c>
      <c r="C25" s="6" t="s">
        <v>58</v>
      </c>
      <c r="D25" s="21">
        <v>2.1352106000000002</v>
      </c>
      <c r="E25" s="22">
        <v>1.3240908227252699</v>
      </c>
      <c r="F25" s="22">
        <v>4.4642172980045904</v>
      </c>
      <c r="G25" s="22">
        <v>7.7159285101947397</v>
      </c>
    </row>
    <row r="26" spans="1:7" x14ac:dyDescent="0.35">
      <c r="A26" s="23" t="s">
        <v>49</v>
      </c>
      <c r="B26" s="13" t="s">
        <v>39</v>
      </c>
      <c r="C26" s="13" t="s">
        <v>41</v>
      </c>
      <c r="D26" s="24">
        <v>62.610999999999997</v>
      </c>
      <c r="E26" s="25">
        <v>2.3646261766681201E-3</v>
      </c>
      <c r="F26" s="25">
        <v>7.6746499836514602E-3</v>
      </c>
      <c r="G26" s="25">
        <v>1.2810808666554801E-2</v>
      </c>
    </row>
    <row r="27" spans="1:7" x14ac:dyDescent="0.35">
      <c r="A27" s="20" t="s">
        <v>49</v>
      </c>
      <c r="B27" s="6" t="s">
        <v>39</v>
      </c>
      <c r="C27" s="6" t="s">
        <v>42</v>
      </c>
      <c r="D27" s="21">
        <v>54.771299999999997</v>
      </c>
      <c r="E27" s="22">
        <v>1.1550009147432601E-3</v>
      </c>
      <c r="F27" s="22">
        <v>3.2988905937129001E-3</v>
      </c>
      <c r="G27" s="22">
        <v>6.5095841618804896E-3</v>
      </c>
    </row>
    <row r="28" spans="1:7" x14ac:dyDescent="0.35">
      <c r="A28" s="23" t="s">
        <v>49</v>
      </c>
      <c r="B28" s="13" t="s">
        <v>39</v>
      </c>
      <c r="C28" s="13" t="s">
        <v>43</v>
      </c>
      <c r="D28" s="24">
        <v>0.34911399999999998</v>
      </c>
      <c r="E28" s="25">
        <v>6.9063927253939996E-4</v>
      </c>
      <c r="F28" s="25">
        <v>2.3405484709488802E-3</v>
      </c>
      <c r="G28" s="25">
        <v>3.9843163903979101E-3</v>
      </c>
    </row>
    <row r="29" spans="1:7" x14ac:dyDescent="0.35">
      <c r="A29" s="20" t="s">
        <v>49</v>
      </c>
      <c r="B29" s="6" t="s">
        <v>39</v>
      </c>
      <c r="C29" s="6" t="s">
        <v>16</v>
      </c>
      <c r="D29" s="21">
        <v>2.87683</v>
      </c>
      <c r="E29" s="22">
        <v>2.1818662183589101E-3</v>
      </c>
      <c r="F29" s="22">
        <v>7.8308685916167308E-3</v>
      </c>
      <c r="G29" s="22">
        <v>1.2375491780561699E-2</v>
      </c>
    </row>
    <row r="30" spans="1:7" x14ac:dyDescent="0.35">
      <c r="A30" s="23" t="s">
        <v>49</v>
      </c>
      <c r="B30" s="13" t="s">
        <v>39</v>
      </c>
      <c r="C30" s="13" t="s">
        <v>40</v>
      </c>
      <c r="D30" s="24">
        <v>4.4576900000000004</v>
      </c>
      <c r="E30" s="25">
        <v>1.9557646257379298E-3</v>
      </c>
      <c r="F30" s="25">
        <v>6.7816752973434303E-3</v>
      </c>
      <c r="G30" s="25">
        <v>1.12395882886645E-2</v>
      </c>
    </row>
    <row r="31" spans="1:7" x14ac:dyDescent="0.35">
      <c r="A31" s="20" t="s">
        <v>49</v>
      </c>
      <c r="B31" s="6" t="s">
        <v>64</v>
      </c>
      <c r="C31" s="6" t="s">
        <v>58</v>
      </c>
      <c r="D31" s="21">
        <v>4.0496929000000002</v>
      </c>
      <c r="E31" s="22">
        <v>1.93825715071022E-3</v>
      </c>
      <c r="F31" s="22">
        <v>6.4403342578306603E-3</v>
      </c>
      <c r="G31" s="22">
        <v>1.1390192968623499E-2</v>
      </c>
    </row>
    <row r="32" spans="1:7" x14ac:dyDescent="0.35">
      <c r="A32" s="23" t="s">
        <v>49</v>
      </c>
      <c r="B32" s="13" t="s">
        <v>44</v>
      </c>
      <c r="C32" s="13" t="s">
        <v>41</v>
      </c>
      <c r="D32" s="24">
        <v>8.5870700000000006</v>
      </c>
      <c r="E32" s="25">
        <v>4.1453415836221599E-2</v>
      </c>
      <c r="F32" s="25">
        <v>0.14040456794717501</v>
      </c>
      <c r="G32" s="25">
        <v>0.245064119550231</v>
      </c>
    </row>
    <row r="33" spans="1:7" x14ac:dyDescent="0.35">
      <c r="A33" s="20" t="s">
        <v>49</v>
      </c>
      <c r="B33" s="6" t="s">
        <v>44</v>
      </c>
      <c r="C33" s="6" t="s">
        <v>42</v>
      </c>
      <c r="D33" s="21">
        <v>14.228300000000001</v>
      </c>
      <c r="E33" s="22">
        <v>0.13904915029484899</v>
      </c>
      <c r="F33" s="22">
        <v>0.386911454156115</v>
      </c>
      <c r="G33" s="22">
        <v>0.68318059147913801</v>
      </c>
    </row>
    <row r="34" spans="1:7" x14ac:dyDescent="0.35">
      <c r="A34" s="23" t="s">
        <v>49</v>
      </c>
      <c r="B34" s="13" t="s">
        <v>44</v>
      </c>
      <c r="C34" s="13" t="s">
        <v>43</v>
      </c>
      <c r="D34" s="24">
        <v>7.0940500000000004E-2</v>
      </c>
      <c r="E34" s="25">
        <v>0.15612056582273201</v>
      </c>
      <c r="F34" s="25">
        <v>0.51286766610365897</v>
      </c>
      <c r="G34" s="25">
        <v>0.71278513265916699</v>
      </c>
    </row>
    <row r="35" spans="1:7" x14ac:dyDescent="0.35">
      <c r="A35" s="20" t="s">
        <v>49</v>
      </c>
      <c r="B35" s="6" t="s">
        <v>44</v>
      </c>
      <c r="C35" s="6" t="s">
        <v>16</v>
      </c>
      <c r="D35" s="21">
        <v>1.6848399999999999</v>
      </c>
      <c r="E35" s="22">
        <v>4.1456865722321698E-2</v>
      </c>
      <c r="F35" s="22">
        <v>0.140393759291254</v>
      </c>
      <c r="G35" s="22">
        <v>0.24506370248391099</v>
      </c>
    </row>
    <row r="36" spans="1:7" x14ac:dyDescent="0.35">
      <c r="A36" s="23" t="s">
        <v>49</v>
      </c>
      <c r="B36" s="13" t="s">
        <v>44</v>
      </c>
      <c r="C36" s="13" t="s">
        <v>40</v>
      </c>
      <c r="D36" s="24">
        <v>1.5675600000000001</v>
      </c>
      <c r="E36" s="25">
        <v>4.0833320272044303E-2</v>
      </c>
      <c r="F36" s="25">
        <v>0.140925650846046</v>
      </c>
      <c r="G36" s="25">
        <v>0.24505734285731401</v>
      </c>
    </row>
    <row r="37" spans="1:7" x14ac:dyDescent="0.35">
      <c r="A37" s="20" t="s">
        <v>49</v>
      </c>
      <c r="B37" s="6" t="s">
        <v>62</v>
      </c>
      <c r="C37" s="6" t="s">
        <v>58</v>
      </c>
      <c r="D37" s="21">
        <v>1.2574320000000001</v>
      </c>
      <c r="E37" s="22">
        <v>4.0787048159407598E-2</v>
      </c>
      <c r="F37" s="22">
        <v>0.14148670760075799</v>
      </c>
      <c r="G37" s="22">
        <v>0.245053054690517</v>
      </c>
    </row>
    <row r="38" spans="1:7" x14ac:dyDescent="0.35">
      <c r="A38" s="23" t="s">
        <v>47</v>
      </c>
      <c r="B38" s="13" t="s">
        <v>39</v>
      </c>
      <c r="C38" s="13" t="s">
        <v>41</v>
      </c>
      <c r="D38" s="24">
        <v>54.652799999999999</v>
      </c>
      <c r="E38" s="25">
        <v>4.4510542736962699E-3</v>
      </c>
      <c r="F38" s="25">
        <v>1.6507426046054201E-2</v>
      </c>
      <c r="G38" s="25">
        <v>2.6229440676767898E-2</v>
      </c>
    </row>
    <row r="39" spans="1:7" x14ac:dyDescent="0.35">
      <c r="A39" s="20" t="s">
        <v>47</v>
      </c>
      <c r="B39" s="6" t="s">
        <v>39</v>
      </c>
      <c r="C39" s="6" t="s">
        <v>42</v>
      </c>
      <c r="D39" s="21">
        <v>63.719700000000003</v>
      </c>
      <c r="E39" s="22">
        <v>6.3331295728659403E-3</v>
      </c>
      <c r="F39" s="22">
        <v>1.7931398656809299E-2</v>
      </c>
      <c r="G39" s="22">
        <v>3.3279032323531001E-2</v>
      </c>
    </row>
    <row r="40" spans="1:7" x14ac:dyDescent="0.35">
      <c r="A40" s="23" t="s">
        <v>47</v>
      </c>
      <c r="B40" s="13" t="s">
        <v>39</v>
      </c>
      <c r="C40" s="13" t="s">
        <v>43</v>
      </c>
      <c r="D40" s="24">
        <v>0.33784500000000001</v>
      </c>
      <c r="E40" s="25">
        <v>1.8309538424324302E-2</v>
      </c>
      <c r="F40" s="25">
        <v>8.5810910075569402E-2</v>
      </c>
      <c r="G40" s="25">
        <v>8.5895394944806996E-2</v>
      </c>
    </row>
    <row r="41" spans="1:7" x14ac:dyDescent="0.35">
      <c r="A41" s="20" t="s">
        <v>47</v>
      </c>
      <c r="B41" s="6" t="s">
        <v>39</v>
      </c>
      <c r="C41" s="6" t="s">
        <v>16</v>
      </c>
      <c r="D41" s="21">
        <v>2.5577700000000001</v>
      </c>
      <c r="E41" s="22">
        <v>4.0142921929919003E-3</v>
      </c>
      <c r="F41" s="22">
        <v>1.28594873147887E-2</v>
      </c>
      <c r="G41" s="22">
        <v>2.28128592064397E-2</v>
      </c>
    </row>
    <row r="42" spans="1:7" x14ac:dyDescent="0.35">
      <c r="A42" s="23" t="s">
        <v>47</v>
      </c>
      <c r="B42" s="13" t="s">
        <v>39</v>
      </c>
      <c r="C42" s="13" t="s">
        <v>40</v>
      </c>
      <c r="D42" s="24">
        <v>3.11145</v>
      </c>
      <c r="E42" s="25">
        <v>4.0142916824074297E-3</v>
      </c>
      <c r="F42" s="25">
        <v>1.28594959878779E-2</v>
      </c>
      <c r="G42" s="25">
        <v>2.28128717828079E-2</v>
      </c>
    </row>
    <row r="43" spans="1:7" x14ac:dyDescent="0.35">
      <c r="A43" s="20" t="s">
        <v>47</v>
      </c>
      <c r="B43" s="6" t="s">
        <v>64</v>
      </c>
      <c r="C43" s="6" t="s">
        <v>58</v>
      </c>
      <c r="D43" s="21">
        <v>4.5974335000000002</v>
      </c>
      <c r="E43" s="22">
        <v>5.5891524503640499E-3</v>
      </c>
      <c r="F43" s="22">
        <v>2.2443603715458799E-2</v>
      </c>
      <c r="G43" s="22">
        <v>3.4773400574761498E-2</v>
      </c>
    </row>
    <row r="44" spans="1:7" x14ac:dyDescent="0.35">
      <c r="A44" s="23" t="s">
        <v>47</v>
      </c>
      <c r="B44" s="13" t="s">
        <v>44</v>
      </c>
      <c r="C44" s="13" t="s">
        <v>41</v>
      </c>
      <c r="D44" s="24">
        <v>6.6707299999999998</v>
      </c>
      <c r="E44" s="25">
        <v>0.24360513166502101</v>
      </c>
      <c r="F44" s="25">
        <v>0.75915050824021502</v>
      </c>
      <c r="G44" s="25">
        <v>1.51023010747413</v>
      </c>
    </row>
    <row r="45" spans="1:7" x14ac:dyDescent="0.35">
      <c r="A45" s="20" t="s">
        <v>47</v>
      </c>
      <c r="B45" s="6" t="s">
        <v>44</v>
      </c>
      <c r="C45" s="6" t="s">
        <v>42</v>
      </c>
      <c r="D45" s="21">
        <v>13.828099999999999</v>
      </c>
      <c r="E45" s="22">
        <v>0.45993125581394501</v>
      </c>
      <c r="F45" s="22">
        <v>1.88492546748256</v>
      </c>
      <c r="G45" s="22">
        <v>3.0087160259682402</v>
      </c>
    </row>
    <row r="46" spans="1:7" x14ac:dyDescent="0.35">
      <c r="A46" s="23" t="s">
        <v>47</v>
      </c>
      <c r="B46" s="13" t="s">
        <v>44</v>
      </c>
      <c r="C46" s="13" t="s">
        <v>43</v>
      </c>
      <c r="D46" s="24">
        <v>8.8483400000000004E-2</v>
      </c>
      <c r="E46" s="25">
        <v>0.50439958268898499</v>
      </c>
      <c r="F46" s="25">
        <v>1.17428808388124</v>
      </c>
      <c r="G46" s="25">
        <v>1.8642873922166101</v>
      </c>
    </row>
    <row r="47" spans="1:7" x14ac:dyDescent="0.35">
      <c r="A47" s="20" t="s">
        <v>47</v>
      </c>
      <c r="B47" s="6" t="s">
        <v>44</v>
      </c>
      <c r="C47" s="6" t="s">
        <v>16</v>
      </c>
      <c r="D47" s="21">
        <v>1.0792299999999999</v>
      </c>
      <c r="E47" s="22">
        <v>0.23694535093489999</v>
      </c>
      <c r="F47" s="22">
        <v>0.75638934371671995</v>
      </c>
      <c r="G47" s="22">
        <v>1.51030932819276</v>
      </c>
    </row>
    <row r="48" spans="1:7" x14ac:dyDescent="0.35">
      <c r="A48" s="23" t="s">
        <v>47</v>
      </c>
      <c r="B48" s="13" t="s">
        <v>44</v>
      </c>
      <c r="C48" s="13" t="s">
        <v>40</v>
      </c>
      <c r="D48" s="24">
        <v>1.5731599999999999</v>
      </c>
      <c r="E48" s="25">
        <v>0.229718036094717</v>
      </c>
      <c r="F48" s="25">
        <v>0.77961498364586002</v>
      </c>
      <c r="G48" s="25">
        <v>1.4616668194278799</v>
      </c>
    </row>
    <row r="49" spans="1:12" x14ac:dyDescent="0.35">
      <c r="A49" s="20" t="s">
        <v>47</v>
      </c>
      <c r="B49" s="6" t="s">
        <v>62</v>
      </c>
      <c r="C49" s="6" t="s">
        <v>58</v>
      </c>
      <c r="D49" s="21">
        <v>1.5713614</v>
      </c>
      <c r="E49" s="22">
        <v>0.40071241252664902</v>
      </c>
      <c r="F49" s="22">
        <v>0.96581405788355201</v>
      </c>
      <c r="G49" s="22">
        <v>1.9214747959175</v>
      </c>
    </row>
    <row r="50" spans="1:12" x14ac:dyDescent="0.35">
      <c r="A50" s="23" t="s">
        <v>46</v>
      </c>
      <c r="B50" s="13" t="s">
        <v>39</v>
      </c>
      <c r="C50" s="13" t="s">
        <v>41</v>
      </c>
      <c r="D50" s="24">
        <v>6.6156800000000002</v>
      </c>
      <c r="E50" s="25">
        <v>0.14592883124204001</v>
      </c>
      <c r="F50" s="25">
        <v>0.60449260703643604</v>
      </c>
      <c r="G50" s="25">
        <v>1.0055006730877001</v>
      </c>
    </row>
    <row r="51" spans="1:12" x14ac:dyDescent="0.35">
      <c r="A51" s="20" t="s">
        <v>46</v>
      </c>
      <c r="B51" s="6" t="s">
        <v>39</v>
      </c>
      <c r="C51" s="6" t="s">
        <v>42</v>
      </c>
      <c r="D51" s="21">
        <v>35.988700000000001</v>
      </c>
      <c r="E51" s="22">
        <v>0.12968113651434601</v>
      </c>
      <c r="F51" s="22">
        <v>0.57749149831848201</v>
      </c>
      <c r="G51" s="22">
        <v>1.0185314034547699</v>
      </c>
    </row>
    <row r="52" spans="1:12" x14ac:dyDescent="0.35">
      <c r="A52" s="23" t="s">
        <v>46</v>
      </c>
      <c r="B52" s="13" t="s">
        <v>39</v>
      </c>
      <c r="C52" s="13" t="s">
        <v>43</v>
      </c>
      <c r="D52" s="24">
        <v>0.292354</v>
      </c>
      <c r="E52" s="25">
        <v>0.31220361801305802</v>
      </c>
      <c r="F52" s="25">
        <v>0.73540788758055997</v>
      </c>
      <c r="G52" s="25">
        <v>0.73616458940486895</v>
      </c>
    </row>
    <row r="53" spans="1:12" x14ac:dyDescent="0.35">
      <c r="A53" s="20" t="s">
        <v>46</v>
      </c>
      <c r="B53" s="6" t="s">
        <v>39</v>
      </c>
      <c r="C53" s="6" t="s">
        <v>16</v>
      </c>
      <c r="D53" s="21">
        <v>13.1905</v>
      </c>
      <c r="E53" s="22">
        <v>3.3790369124594198E-3</v>
      </c>
      <c r="F53" s="22">
        <v>1.0685154303572E-2</v>
      </c>
      <c r="G53" s="22">
        <v>1.9292474326642099E-2</v>
      </c>
    </row>
    <row r="54" spans="1:12" x14ac:dyDescent="0.35">
      <c r="A54" s="23" t="s">
        <v>46</v>
      </c>
      <c r="B54" s="13" t="s">
        <v>39</v>
      </c>
      <c r="C54" s="13" t="s">
        <v>40</v>
      </c>
      <c r="D54" s="24">
        <v>1.1140000000000001</v>
      </c>
      <c r="E54" s="25">
        <v>0.249127964789603</v>
      </c>
      <c r="F54" s="25">
        <v>0.88938504322949796</v>
      </c>
      <c r="G54" s="25">
        <v>1.3298393318872299</v>
      </c>
    </row>
    <row r="55" spans="1:12" x14ac:dyDescent="0.35">
      <c r="A55" s="20" t="s">
        <v>46</v>
      </c>
      <c r="B55" s="6" t="s">
        <v>64</v>
      </c>
      <c r="C55" s="6" t="s">
        <v>58</v>
      </c>
      <c r="D55" s="21">
        <v>1.9451883000000001</v>
      </c>
      <c r="E55" s="22">
        <v>0.40359911336578402</v>
      </c>
      <c r="F55" s="22">
        <v>0.62498700848665001</v>
      </c>
      <c r="G55" s="22">
        <v>1.1677899083337999</v>
      </c>
    </row>
    <row r="56" spans="1:12" x14ac:dyDescent="0.35">
      <c r="A56" s="23" t="s">
        <v>46</v>
      </c>
      <c r="B56" s="13" t="s">
        <v>44</v>
      </c>
      <c r="C56" s="13" t="s">
        <v>41</v>
      </c>
      <c r="D56" s="24">
        <v>9.6140600000000003</v>
      </c>
      <c r="E56" s="25">
        <v>9.8471561707902805E-2</v>
      </c>
      <c r="F56" s="25">
        <v>0.33753961371707603</v>
      </c>
      <c r="G56" s="25">
        <v>0.61523698654407699</v>
      </c>
    </row>
    <row r="57" spans="1:12" x14ac:dyDescent="0.35">
      <c r="A57" s="20" t="s">
        <v>46</v>
      </c>
      <c r="B57" s="6" t="s">
        <v>44</v>
      </c>
      <c r="C57" s="6" t="s">
        <v>42</v>
      </c>
      <c r="D57" s="21">
        <v>17.239699999999999</v>
      </c>
      <c r="E57" s="22">
        <v>0.14224438082638899</v>
      </c>
      <c r="F57" s="22">
        <v>0.414745195132116</v>
      </c>
      <c r="G57" s="22">
        <v>0.80134390579414105</v>
      </c>
    </row>
    <row r="58" spans="1:12" x14ac:dyDescent="0.35">
      <c r="A58" s="23" t="s">
        <v>46</v>
      </c>
      <c r="B58" s="13" t="s">
        <v>44</v>
      </c>
      <c r="C58" s="13" t="s">
        <v>43</v>
      </c>
      <c r="D58" s="24">
        <v>6.8042199999999997E-2</v>
      </c>
      <c r="E58" s="25">
        <v>0.50760907712574199</v>
      </c>
      <c r="F58" s="25">
        <v>1.09124651945925</v>
      </c>
      <c r="G58" s="25">
        <v>1.10549516064681</v>
      </c>
    </row>
    <row r="59" spans="1:12" x14ac:dyDescent="0.35">
      <c r="A59" s="20" t="s">
        <v>46</v>
      </c>
      <c r="B59" s="6" t="s">
        <v>44</v>
      </c>
      <c r="C59" s="6" t="s">
        <v>16</v>
      </c>
      <c r="D59" s="21">
        <v>3.1019899999999998</v>
      </c>
      <c r="E59" s="22">
        <v>9.8036203584847603E-2</v>
      </c>
      <c r="F59" s="22">
        <v>0.30778567176863803</v>
      </c>
      <c r="G59" s="22">
        <v>0.58570046607555803</v>
      </c>
    </row>
    <row r="60" spans="1:12" x14ac:dyDescent="0.35">
      <c r="A60" s="23" t="s">
        <v>46</v>
      </c>
      <c r="B60" s="13" t="s">
        <v>44</v>
      </c>
      <c r="C60" s="13" t="s">
        <v>40</v>
      </c>
      <c r="D60" s="24">
        <v>2.7850799999999998</v>
      </c>
      <c r="E60" s="25">
        <v>9.71806155299062E-2</v>
      </c>
      <c r="F60" s="25">
        <v>0.295448031130705</v>
      </c>
      <c r="G60" s="25">
        <v>0.57115690156416798</v>
      </c>
    </row>
    <row r="61" spans="1:12" x14ac:dyDescent="0.35">
      <c r="A61" s="20" t="s">
        <v>46</v>
      </c>
      <c r="B61" s="6" t="s">
        <v>62</v>
      </c>
      <c r="C61" s="6" t="s">
        <v>58</v>
      </c>
      <c r="D61" s="21">
        <v>0.69017720000000005</v>
      </c>
      <c r="E61" s="22">
        <v>0.131432654739953</v>
      </c>
      <c r="F61" s="22">
        <v>0.54299357139798299</v>
      </c>
      <c r="G61" s="22">
        <v>1.0098621954920799</v>
      </c>
    </row>
    <row r="62" spans="1:12" x14ac:dyDescent="0.35">
      <c r="K62" s="7" t="s">
        <v>37</v>
      </c>
      <c r="L62" t="s">
        <v>68</v>
      </c>
    </row>
    <row r="63" spans="1:12" x14ac:dyDescent="0.35">
      <c r="K63" s="7" t="s">
        <v>36</v>
      </c>
      <c r="L63" t="s">
        <v>68</v>
      </c>
    </row>
    <row r="65" spans="11:15" x14ac:dyDescent="0.35">
      <c r="K65" s="7" t="s">
        <v>55</v>
      </c>
      <c r="L65" t="s">
        <v>57</v>
      </c>
      <c r="M65" t="s">
        <v>65</v>
      </c>
      <c r="N65" t="s">
        <v>66</v>
      </c>
      <c r="O65" t="s">
        <v>67</v>
      </c>
    </row>
    <row r="66" spans="11:15" x14ac:dyDescent="0.35">
      <c r="K66" s="8" t="s">
        <v>41</v>
      </c>
      <c r="L66" s="11">
        <v>28.035107</v>
      </c>
      <c r="M66" s="12">
        <v>0.13910073921247004</v>
      </c>
      <c r="N66" s="12">
        <v>0.51048088727152119</v>
      </c>
      <c r="O66" s="12">
        <v>0.94766945499370725</v>
      </c>
    </row>
    <row r="67" spans="11:15" x14ac:dyDescent="0.35">
      <c r="K67" s="8" t="s">
        <v>42</v>
      </c>
      <c r="L67" s="11">
        <v>33.380251000000001</v>
      </c>
      <c r="M67" s="12">
        <v>0.24633700319908547</v>
      </c>
      <c r="N67" s="12">
        <v>0.98231866318178729</v>
      </c>
      <c r="O67" s="12">
        <v>1.6136168321521187</v>
      </c>
    </row>
    <row r="68" spans="11:15" x14ac:dyDescent="0.35">
      <c r="K68" s="8" t="s">
        <v>43</v>
      </c>
      <c r="L68" s="11">
        <v>0.21431762000000001</v>
      </c>
      <c r="M68" s="12">
        <v>0.41472425317527806</v>
      </c>
      <c r="N68" s="12">
        <v>1.0467799336848513</v>
      </c>
      <c r="O68" s="12">
        <v>1.429694802053032</v>
      </c>
    </row>
    <row r="69" spans="11:15" x14ac:dyDescent="0.35">
      <c r="K69" s="8" t="s">
        <v>16</v>
      </c>
      <c r="L69" s="11">
        <v>4.7895820000000002</v>
      </c>
      <c r="M69" s="12">
        <v>0.12254273977925523</v>
      </c>
      <c r="N69" s="12">
        <v>0.48889465777763313</v>
      </c>
      <c r="O69" s="12">
        <v>0.90878341915603333</v>
      </c>
    </row>
    <row r="70" spans="11:15" x14ac:dyDescent="0.35">
      <c r="K70" s="8" t="s">
        <v>40</v>
      </c>
      <c r="L70" s="11">
        <v>3.4851573</v>
      </c>
      <c r="M70" s="12">
        <v>0.13494607028148947</v>
      </c>
      <c r="N70" s="12">
        <v>0.50411365699925614</v>
      </c>
      <c r="O70" s="12">
        <v>0.94189978729886814</v>
      </c>
    </row>
    <row r="71" spans="11:15" x14ac:dyDescent="0.35">
      <c r="K71" s="8" t="s">
        <v>58</v>
      </c>
      <c r="L71" s="11">
        <v>2.3101450400000005</v>
      </c>
      <c r="M71" s="12">
        <v>0.27788735892611011</v>
      </c>
      <c r="N71" s="12">
        <v>0.97554330008965773</v>
      </c>
      <c r="O71" s="12">
        <v>1.7714690063210139</v>
      </c>
    </row>
    <row r="72" spans="11:15" x14ac:dyDescent="0.35">
      <c r="K72" s="8" t="s">
        <v>56</v>
      </c>
      <c r="L72" s="11">
        <v>12.035759993333333</v>
      </c>
      <c r="M72" s="10">
        <v>0.22258969409561474</v>
      </c>
      <c r="N72" s="10">
        <v>0.75135518316745076</v>
      </c>
      <c r="O72" s="10">
        <v>1.268855550329129</v>
      </c>
    </row>
  </sheetData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1F608-920C-4CE7-BD84-4D506B6A3AD2}">
  <dimension ref="A3:B9"/>
  <sheetViews>
    <sheetView workbookViewId="0">
      <selection activeCell="B8" sqref="B8"/>
    </sheetView>
  </sheetViews>
  <sheetFormatPr defaultRowHeight="14.5" x14ac:dyDescent="0.35"/>
  <cols>
    <col min="1" max="1" width="12.90625" bestFit="1" customWidth="1"/>
    <col min="2" max="2" width="14.7265625" bestFit="1" customWidth="1"/>
  </cols>
  <sheetData>
    <row r="3" spans="1:2" x14ac:dyDescent="0.35">
      <c r="A3" s="7" t="s">
        <v>55</v>
      </c>
      <c r="B3" t="s">
        <v>57</v>
      </c>
    </row>
    <row r="4" spans="1:2" x14ac:dyDescent="0.35">
      <c r="A4" s="8" t="s">
        <v>41</v>
      </c>
      <c r="B4" s="9">
        <v>29.022560999999996</v>
      </c>
    </row>
    <row r="5" spans="1:2" x14ac:dyDescent="0.35">
      <c r="A5" s="8" t="s">
        <v>42</v>
      </c>
      <c r="B5" s="9">
        <v>32.52543099999999</v>
      </c>
    </row>
    <row r="6" spans="1:2" x14ac:dyDescent="0.35">
      <c r="A6" s="8" t="s">
        <v>43</v>
      </c>
      <c r="B6" s="9">
        <v>0.21369023000000001</v>
      </c>
    </row>
    <row r="7" spans="1:2" x14ac:dyDescent="0.35">
      <c r="A7" s="8" t="s">
        <v>16</v>
      </c>
      <c r="B7" s="9">
        <v>4.8820490000000003</v>
      </c>
    </row>
    <row r="8" spans="1:2" x14ac:dyDescent="0.35">
      <c r="A8" s="8" t="s">
        <v>40</v>
      </c>
      <c r="B8" s="9">
        <v>3.6192212999999995</v>
      </c>
    </row>
    <row r="9" spans="1:2" x14ac:dyDescent="0.35">
      <c r="A9" s="8" t="s">
        <v>56</v>
      </c>
      <c r="B9" s="9">
        <v>14.052590505999996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47F2-F5CA-471E-AECC-8A1733301BEF}">
  <dimension ref="A1:B7"/>
  <sheetViews>
    <sheetView workbookViewId="0">
      <selection activeCell="D6" sqref="D6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7" t="s">
        <v>55</v>
      </c>
      <c r="B1" t="s">
        <v>57</v>
      </c>
    </row>
    <row r="2" spans="1:2" x14ac:dyDescent="0.35">
      <c r="A2" s="8" t="s">
        <v>45</v>
      </c>
      <c r="B2" s="9">
        <v>20.114168810000002</v>
      </c>
    </row>
    <row r="3" spans="1:2" x14ac:dyDescent="0.35">
      <c r="A3" s="8" t="s">
        <v>48</v>
      </c>
      <c r="B3" s="9">
        <v>10.906844200000002</v>
      </c>
    </row>
    <row r="4" spans="1:2" x14ac:dyDescent="0.35">
      <c r="A4" s="8" t="s">
        <v>49</v>
      </c>
      <c r="B4" s="9">
        <v>15.12046445</v>
      </c>
    </row>
    <row r="5" spans="1:2" x14ac:dyDescent="0.35">
      <c r="A5" s="8" t="s">
        <v>47</v>
      </c>
      <c r="B5" s="9">
        <v>15.12046445</v>
      </c>
    </row>
    <row r="6" spans="1:2" x14ac:dyDescent="0.35">
      <c r="A6" s="8" t="s">
        <v>46</v>
      </c>
      <c r="B6" s="9">
        <v>9.0010106199999989</v>
      </c>
    </row>
    <row r="7" spans="1:2" x14ac:dyDescent="0.35">
      <c r="A7" s="8" t="s">
        <v>56</v>
      </c>
      <c r="B7" s="9">
        <v>14.052590506000001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32860-7E0F-4643-B153-B9007F331D73}">
  <dimension ref="A1:F61"/>
  <sheetViews>
    <sheetView topLeftCell="A2" workbookViewId="0">
      <selection activeCell="E29" sqref="E29"/>
    </sheetView>
  </sheetViews>
  <sheetFormatPr defaultRowHeight="14.5" x14ac:dyDescent="0.35"/>
  <cols>
    <col min="2" max="2" width="14" bestFit="1" customWidth="1"/>
    <col min="3" max="3" width="14" customWidth="1"/>
    <col min="4" max="4" width="21.7265625" bestFit="1" customWidth="1"/>
    <col min="5" max="5" width="22.7265625" bestFit="1" customWidth="1"/>
    <col min="6" max="7" width="21.1796875" bestFit="1" customWidth="1"/>
  </cols>
  <sheetData>
    <row r="1" spans="1:6" x14ac:dyDescent="0.35">
      <c r="B1" t="s">
        <v>36</v>
      </c>
      <c r="C1" t="s">
        <v>63</v>
      </c>
      <c r="D1" t="s">
        <v>59</v>
      </c>
      <c r="E1" t="s">
        <v>60</v>
      </c>
      <c r="F1" t="s">
        <v>61</v>
      </c>
    </row>
    <row r="2" spans="1:6" x14ac:dyDescent="0.35">
      <c r="A2" t="s">
        <v>43</v>
      </c>
      <c r="B2" t="s">
        <v>48</v>
      </c>
      <c r="C2" t="s">
        <v>64</v>
      </c>
      <c r="D2">
        <v>6.6681803044133896E-3</v>
      </c>
      <c r="E2">
        <v>2.0590593675692499E-2</v>
      </c>
      <c r="F2">
        <v>2.3637880091791501E-2</v>
      </c>
    </row>
    <row r="3" spans="1:6" x14ac:dyDescent="0.35">
      <c r="A3" t="s">
        <v>40</v>
      </c>
      <c r="B3" t="s">
        <v>48</v>
      </c>
      <c r="C3" t="s">
        <v>64</v>
      </c>
      <c r="D3">
        <v>2.6246393560013302E-3</v>
      </c>
      <c r="E3">
        <v>7.3498541312440697E-3</v>
      </c>
      <c r="F3">
        <v>1.4359288182437299E-2</v>
      </c>
    </row>
    <row r="4" spans="1:6" x14ac:dyDescent="0.35">
      <c r="A4" t="s">
        <v>58</v>
      </c>
      <c r="B4" t="s">
        <v>48</v>
      </c>
      <c r="C4" t="s">
        <v>64</v>
      </c>
      <c r="D4">
        <v>3.01868263179329E-3</v>
      </c>
      <c r="E4">
        <v>9.0967723677438505E-3</v>
      </c>
      <c r="F4">
        <v>1.7050883086645801E-2</v>
      </c>
    </row>
    <row r="5" spans="1:6" x14ac:dyDescent="0.35">
      <c r="A5" t="s">
        <v>16</v>
      </c>
      <c r="B5" t="s">
        <v>48</v>
      </c>
      <c r="C5" t="s">
        <v>64</v>
      </c>
      <c r="D5">
        <v>2.6246408285867402E-3</v>
      </c>
      <c r="E5">
        <v>7.3498517231258102E-3</v>
      </c>
      <c r="F5">
        <v>1.4359291311023901E-2</v>
      </c>
    </row>
    <row r="6" spans="1:6" x14ac:dyDescent="0.35">
      <c r="A6" t="s">
        <v>41</v>
      </c>
      <c r="B6" t="s">
        <v>48</v>
      </c>
      <c r="C6" t="s">
        <v>64</v>
      </c>
      <c r="D6">
        <v>2.5091416902881399E-3</v>
      </c>
      <c r="E6">
        <v>7.2222514734408497E-3</v>
      </c>
      <c r="F6">
        <v>1.4113510787013899E-2</v>
      </c>
    </row>
    <row r="7" spans="1:6" x14ac:dyDescent="0.35">
      <c r="A7" t="s">
        <v>42</v>
      </c>
      <c r="B7" t="s">
        <v>48</v>
      </c>
      <c r="C7" t="s">
        <v>64</v>
      </c>
      <c r="D7">
        <v>5.5010172994750901E-3</v>
      </c>
      <c r="E7">
        <v>1.6524525225234801E-2</v>
      </c>
      <c r="F7">
        <v>2.7843177139354601E-2</v>
      </c>
    </row>
    <row r="8" spans="1:6" x14ac:dyDescent="0.35">
      <c r="A8" t="s">
        <v>43</v>
      </c>
      <c r="B8" t="s">
        <v>48</v>
      </c>
      <c r="C8" t="s">
        <v>62</v>
      </c>
      <c r="D8">
        <v>2.4102050946459301</v>
      </c>
      <c r="E8">
        <v>5.2920800991820203</v>
      </c>
      <c r="F8">
        <v>6.77487680978372</v>
      </c>
    </row>
    <row r="9" spans="1:6" x14ac:dyDescent="0.35">
      <c r="A9" t="s">
        <v>40</v>
      </c>
      <c r="B9" t="s">
        <v>48</v>
      </c>
      <c r="C9" t="s">
        <v>62</v>
      </c>
      <c r="D9">
        <v>0.65760417888491196</v>
      </c>
      <c r="E9">
        <v>2.4889104970683902</v>
      </c>
      <c r="F9">
        <v>4.9520824509459498</v>
      </c>
    </row>
    <row r="10" spans="1:6" x14ac:dyDescent="0.35">
      <c r="A10" t="s">
        <v>58</v>
      </c>
      <c r="B10" t="s">
        <v>48</v>
      </c>
      <c r="C10" t="s">
        <v>62</v>
      </c>
      <c r="D10">
        <v>1.3240908227252699</v>
      </c>
      <c r="E10">
        <v>4.4642172980045904</v>
      </c>
      <c r="F10">
        <v>7.7159285101947397</v>
      </c>
    </row>
    <row r="11" spans="1:6" x14ac:dyDescent="0.35">
      <c r="A11" t="s">
        <v>16</v>
      </c>
      <c r="B11" t="s">
        <v>48</v>
      </c>
      <c r="C11" t="s">
        <v>62</v>
      </c>
      <c r="D11">
        <v>0.77456738695982197</v>
      </c>
      <c r="E11">
        <v>2.88986608068537</v>
      </c>
      <c r="F11">
        <v>5.3199692641874696</v>
      </c>
    </row>
    <row r="12" spans="1:6" x14ac:dyDescent="0.35">
      <c r="A12" t="s">
        <v>41</v>
      </c>
      <c r="B12" t="s">
        <v>48</v>
      </c>
      <c r="C12" t="s">
        <v>62</v>
      </c>
      <c r="D12">
        <v>0.801291367502725</v>
      </c>
      <c r="E12">
        <v>2.88919091353198</v>
      </c>
      <c r="F12">
        <v>5.37246542255048</v>
      </c>
    </row>
    <row r="13" spans="1:6" x14ac:dyDescent="0.35">
      <c r="A13" t="s">
        <v>42</v>
      </c>
      <c r="B13" t="s">
        <v>48</v>
      </c>
      <c r="C13" t="s">
        <v>62</v>
      </c>
      <c r="D13">
        <v>0.96598603616919898</v>
      </c>
      <c r="E13">
        <v>3.5582416127633998</v>
      </c>
      <c r="F13">
        <v>6.28696568810778</v>
      </c>
    </row>
    <row r="14" spans="1:6" x14ac:dyDescent="0.35">
      <c r="A14" t="s">
        <v>43</v>
      </c>
      <c r="B14" t="s">
        <v>47</v>
      </c>
      <c r="C14" t="s">
        <v>64</v>
      </c>
      <c r="D14">
        <v>1.8309538424324302E-2</v>
      </c>
      <c r="E14">
        <v>8.5810910075569402E-2</v>
      </c>
      <c r="F14">
        <v>8.5895394944806996E-2</v>
      </c>
    </row>
    <row r="15" spans="1:6" x14ac:dyDescent="0.35">
      <c r="A15" t="s">
        <v>40</v>
      </c>
      <c r="B15" t="s">
        <v>47</v>
      </c>
      <c r="C15" t="s">
        <v>64</v>
      </c>
      <c r="D15">
        <v>4.0142916824074297E-3</v>
      </c>
      <c r="E15">
        <v>1.28594959878779E-2</v>
      </c>
      <c r="F15">
        <v>2.28128717828079E-2</v>
      </c>
    </row>
    <row r="16" spans="1:6" x14ac:dyDescent="0.35">
      <c r="A16" t="s">
        <v>58</v>
      </c>
      <c r="B16" t="s">
        <v>47</v>
      </c>
      <c r="C16" t="s">
        <v>64</v>
      </c>
      <c r="D16">
        <v>5.5891524503640499E-3</v>
      </c>
      <c r="E16">
        <v>2.2443603715458799E-2</v>
      </c>
      <c r="F16">
        <v>3.4773400574761498E-2</v>
      </c>
    </row>
    <row r="17" spans="1:6" x14ac:dyDescent="0.35">
      <c r="A17" t="s">
        <v>16</v>
      </c>
      <c r="B17" t="s">
        <v>47</v>
      </c>
      <c r="C17" t="s">
        <v>64</v>
      </c>
      <c r="D17">
        <v>4.0142921929919003E-3</v>
      </c>
      <c r="E17">
        <v>1.28594873147887E-2</v>
      </c>
      <c r="F17">
        <v>2.28128592064397E-2</v>
      </c>
    </row>
    <row r="18" spans="1:6" x14ac:dyDescent="0.35">
      <c r="A18" t="s">
        <v>41</v>
      </c>
      <c r="B18" t="s">
        <v>47</v>
      </c>
      <c r="C18" t="s">
        <v>64</v>
      </c>
      <c r="D18">
        <v>4.4510542736962699E-3</v>
      </c>
      <c r="E18">
        <v>1.6507426046054201E-2</v>
      </c>
      <c r="F18">
        <v>2.6229440676767898E-2</v>
      </c>
    </row>
    <row r="19" spans="1:6" x14ac:dyDescent="0.35">
      <c r="A19" t="s">
        <v>42</v>
      </c>
      <c r="B19" t="s">
        <v>47</v>
      </c>
      <c r="C19" t="s">
        <v>64</v>
      </c>
      <c r="D19">
        <v>6.3331295728659403E-3</v>
      </c>
      <c r="E19">
        <v>1.7931398656809299E-2</v>
      </c>
      <c r="F19">
        <v>3.3279032323531001E-2</v>
      </c>
    </row>
    <row r="20" spans="1:6" x14ac:dyDescent="0.35">
      <c r="A20" t="s">
        <v>43</v>
      </c>
      <c r="B20" t="s">
        <v>47</v>
      </c>
      <c r="C20" t="s">
        <v>62</v>
      </c>
      <c r="D20">
        <v>0.50439958268898499</v>
      </c>
      <c r="E20">
        <v>1.17428808388124</v>
      </c>
      <c r="F20">
        <v>1.8642873922166101</v>
      </c>
    </row>
    <row r="21" spans="1:6" x14ac:dyDescent="0.35">
      <c r="A21" t="s">
        <v>40</v>
      </c>
      <c r="B21" t="s">
        <v>47</v>
      </c>
      <c r="C21" t="s">
        <v>62</v>
      </c>
      <c r="D21">
        <v>0.229718036094717</v>
      </c>
      <c r="E21">
        <v>0.77961498364586002</v>
      </c>
      <c r="F21">
        <v>1.4616668194278799</v>
      </c>
    </row>
    <row r="22" spans="1:6" x14ac:dyDescent="0.35">
      <c r="A22" t="s">
        <v>58</v>
      </c>
      <c r="B22" t="s">
        <v>47</v>
      </c>
      <c r="C22" t="s">
        <v>62</v>
      </c>
      <c r="D22">
        <v>0.40071241252664902</v>
      </c>
      <c r="E22">
        <v>0.96581405788355201</v>
      </c>
      <c r="F22">
        <v>1.9214747959175</v>
      </c>
    </row>
    <row r="23" spans="1:6" x14ac:dyDescent="0.35">
      <c r="A23" t="s">
        <v>16</v>
      </c>
      <c r="B23" t="s">
        <v>47</v>
      </c>
      <c r="C23" t="s">
        <v>62</v>
      </c>
      <c r="D23">
        <v>0.23694535093489999</v>
      </c>
      <c r="E23">
        <v>0.75638934371671995</v>
      </c>
      <c r="F23">
        <v>1.51030932819276</v>
      </c>
    </row>
    <row r="24" spans="1:6" x14ac:dyDescent="0.35">
      <c r="A24" t="s">
        <v>41</v>
      </c>
      <c r="B24" t="s">
        <v>47</v>
      </c>
      <c r="C24" t="s">
        <v>62</v>
      </c>
      <c r="D24">
        <v>0.24360513166502101</v>
      </c>
      <c r="E24">
        <v>0.75915050824021502</v>
      </c>
      <c r="F24">
        <v>1.51023010747413</v>
      </c>
    </row>
    <row r="25" spans="1:6" x14ac:dyDescent="0.35">
      <c r="A25" t="s">
        <v>42</v>
      </c>
      <c r="B25" t="s">
        <v>47</v>
      </c>
      <c r="C25" t="s">
        <v>62</v>
      </c>
      <c r="D25">
        <v>0.45993125581394501</v>
      </c>
      <c r="E25">
        <v>1.88492546748256</v>
      </c>
      <c r="F25">
        <v>3.0087160259682402</v>
      </c>
    </row>
    <row r="26" spans="1:6" x14ac:dyDescent="0.35">
      <c r="A26" t="s">
        <v>43</v>
      </c>
      <c r="B26" t="s">
        <v>46</v>
      </c>
      <c r="C26" t="s">
        <v>64</v>
      </c>
      <c r="D26">
        <v>0.31220361801305802</v>
      </c>
      <c r="E26">
        <v>0.73540788758055997</v>
      </c>
      <c r="F26">
        <v>0.73616458940486895</v>
      </c>
    </row>
    <row r="27" spans="1:6" x14ac:dyDescent="0.35">
      <c r="A27" t="s">
        <v>40</v>
      </c>
      <c r="B27" t="s">
        <v>46</v>
      </c>
      <c r="C27" t="s">
        <v>64</v>
      </c>
      <c r="D27">
        <v>0.249127964789603</v>
      </c>
      <c r="E27">
        <v>0.88938504322949796</v>
      </c>
      <c r="F27">
        <v>1.3298393318872299</v>
      </c>
    </row>
    <row r="28" spans="1:6" x14ac:dyDescent="0.35">
      <c r="A28" t="s">
        <v>58</v>
      </c>
      <c r="B28" t="s">
        <v>46</v>
      </c>
      <c r="C28" t="s">
        <v>64</v>
      </c>
      <c r="D28">
        <v>0.40359911336578402</v>
      </c>
      <c r="E28">
        <v>0.62498700848665001</v>
      </c>
      <c r="F28">
        <v>1.1677899083337999</v>
      </c>
    </row>
    <row r="29" spans="1:6" x14ac:dyDescent="0.35">
      <c r="A29" t="s">
        <v>16</v>
      </c>
      <c r="B29" t="s">
        <v>46</v>
      </c>
      <c r="C29" t="s">
        <v>64</v>
      </c>
      <c r="D29">
        <v>3.3790369124594198E-3</v>
      </c>
      <c r="E29">
        <v>1.0685154303572E-2</v>
      </c>
      <c r="F29">
        <v>1.9292474326642099E-2</v>
      </c>
    </row>
    <row r="30" spans="1:6" x14ac:dyDescent="0.35">
      <c r="A30" t="s">
        <v>41</v>
      </c>
      <c r="B30" t="s">
        <v>46</v>
      </c>
      <c r="C30" t="s">
        <v>64</v>
      </c>
      <c r="D30">
        <v>0.14592883124204001</v>
      </c>
      <c r="E30">
        <v>0.60449260703643604</v>
      </c>
      <c r="F30">
        <v>1.0055006730877001</v>
      </c>
    </row>
    <row r="31" spans="1:6" x14ac:dyDescent="0.35">
      <c r="A31" t="s">
        <v>42</v>
      </c>
      <c r="B31" t="s">
        <v>46</v>
      </c>
      <c r="C31" t="s">
        <v>64</v>
      </c>
      <c r="D31">
        <v>0.12968113651434601</v>
      </c>
      <c r="E31">
        <v>0.57749149831848201</v>
      </c>
      <c r="F31">
        <v>1.0185314034547699</v>
      </c>
    </row>
    <row r="32" spans="1:6" x14ac:dyDescent="0.35">
      <c r="A32" t="s">
        <v>43</v>
      </c>
      <c r="B32" t="s">
        <v>46</v>
      </c>
      <c r="C32" t="s">
        <v>62</v>
      </c>
      <c r="D32">
        <v>0.50760907712574199</v>
      </c>
      <c r="E32">
        <v>1.09124651945925</v>
      </c>
      <c r="F32">
        <v>1.10549516064681</v>
      </c>
    </row>
    <row r="33" spans="1:6" x14ac:dyDescent="0.35">
      <c r="A33" t="s">
        <v>40</v>
      </c>
      <c r="B33" t="s">
        <v>46</v>
      </c>
      <c r="C33" t="s">
        <v>62</v>
      </c>
      <c r="D33">
        <v>9.71806155299062E-2</v>
      </c>
      <c r="E33">
        <v>0.295448031130705</v>
      </c>
      <c r="F33">
        <v>0.57115690156416798</v>
      </c>
    </row>
    <row r="34" spans="1:6" x14ac:dyDescent="0.35">
      <c r="A34" t="s">
        <v>58</v>
      </c>
      <c r="B34" t="s">
        <v>46</v>
      </c>
      <c r="C34" t="s">
        <v>62</v>
      </c>
      <c r="D34">
        <v>0.131432654739953</v>
      </c>
      <c r="E34">
        <v>0.54299357139798299</v>
      </c>
      <c r="F34">
        <v>1.0098621954920799</v>
      </c>
    </row>
    <row r="35" spans="1:6" x14ac:dyDescent="0.35">
      <c r="A35" t="s">
        <v>16</v>
      </c>
      <c r="B35" t="s">
        <v>46</v>
      </c>
      <c r="C35" t="s">
        <v>62</v>
      </c>
      <c r="D35">
        <v>9.8036203584847603E-2</v>
      </c>
      <c r="E35">
        <v>0.30778567176863803</v>
      </c>
      <c r="F35">
        <v>0.58570046607555803</v>
      </c>
    </row>
    <row r="36" spans="1:6" x14ac:dyDescent="0.35">
      <c r="A36" t="s">
        <v>41</v>
      </c>
      <c r="B36" t="s">
        <v>46</v>
      </c>
      <c r="C36" t="s">
        <v>62</v>
      </c>
      <c r="D36">
        <v>9.8471561707902805E-2</v>
      </c>
      <c r="E36">
        <v>0.33753961371707603</v>
      </c>
      <c r="F36">
        <v>0.61523698654407699</v>
      </c>
    </row>
    <row r="37" spans="1:6" x14ac:dyDescent="0.35">
      <c r="A37" t="s">
        <v>42</v>
      </c>
      <c r="B37" t="s">
        <v>46</v>
      </c>
      <c r="C37" t="s">
        <v>62</v>
      </c>
      <c r="D37">
        <v>0.14224438082638899</v>
      </c>
      <c r="E37">
        <v>0.414745195132116</v>
      </c>
      <c r="F37">
        <v>0.80134390579414105</v>
      </c>
    </row>
    <row r="38" spans="1:6" x14ac:dyDescent="0.35">
      <c r="A38" t="s">
        <v>43</v>
      </c>
      <c r="B38" t="s">
        <v>49</v>
      </c>
      <c r="C38" t="s">
        <v>64</v>
      </c>
      <c r="D38">
        <v>6.9063927253939996E-4</v>
      </c>
      <c r="E38">
        <v>2.3405484709488802E-3</v>
      </c>
      <c r="F38">
        <v>3.9843163903979101E-3</v>
      </c>
    </row>
    <row r="39" spans="1:6" x14ac:dyDescent="0.35">
      <c r="A39" t="s">
        <v>40</v>
      </c>
      <c r="B39" t="s">
        <v>49</v>
      </c>
      <c r="C39" t="s">
        <v>64</v>
      </c>
      <c r="D39">
        <v>1.9557646257379298E-3</v>
      </c>
      <c r="E39">
        <v>6.7816752973434303E-3</v>
      </c>
      <c r="F39">
        <v>1.12395882886645E-2</v>
      </c>
    </row>
    <row r="40" spans="1:6" x14ac:dyDescent="0.35">
      <c r="A40" t="s">
        <v>58</v>
      </c>
      <c r="B40" t="s">
        <v>49</v>
      </c>
      <c r="C40" t="s">
        <v>64</v>
      </c>
      <c r="D40">
        <v>1.93825715071022E-3</v>
      </c>
      <c r="E40">
        <v>6.4403342578306603E-3</v>
      </c>
      <c r="F40">
        <v>1.1390192968623499E-2</v>
      </c>
    </row>
    <row r="41" spans="1:6" x14ac:dyDescent="0.35">
      <c r="A41" t="s">
        <v>16</v>
      </c>
      <c r="B41" t="s">
        <v>49</v>
      </c>
      <c r="C41" t="s">
        <v>64</v>
      </c>
      <c r="D41">
        <v>2.1818662183589101E-3</v>
      </c>
      <c r="E41">
        <v>7.8308685916167308E-3</v>
      </c>
      <c r="F41">
        <v>1.2375491780561699E-2</v>
      </c>
    </row>
    <row r="42" spans="1:6" x14ac:dyDescent="0.35">
      <c r="A42" t="s">
        <v>41</v>
      </c>
      <c r="B42" t="s">
        <v>49</v>
      </c>
      <c r="C42" t="s">
        <v>64</v>
      </c>
      <c r="D42">
        <v>2.3646261766681201E-3</v>
      </c>
      <c r="E42">
        <v>7.6746499836514602E-3</v>
      </c>
      <c r="F42">
        <v>1.2810808666554801E-2</v>
      </c>
    </row>
    <row r="43" spans="1:6" x14ac:dyDescent="0.35">
      <c r="A43" t="s">
        <v>42</v>
      </c>
      <c r="B43" t="s">
        <v>49</v>
      </c>
      <c r="C43" t="s">
        <v>64</v>
      </c>
      <c r="D43">
        <v>1.1550009147432601E-3</v>
      </c>
      <c r="E43">
        <v>3.2988905937129001E-3</v>
      </c>
      <c r="F43">
        <v>6.5095841618804896E-3</v>
      </c>
    </row>
    <row r="44" spans="1:6" x14ac:dyDescent="0.35">
      <c r="A44" t="s">
        <v>43</v>
      </c>
      <c r="B44" t="s">
        <v>49</v>
      </c>
      <c r="C44" t="s">
        <v>62</v>
      </c>
      <c r="D44">
        <v>0.15612056582273201</v>
      </c>
      <c r="E44">
        <v>0.51286766610365897</v>
      </c>
      <c r="F44">
        <v>0.71278513265916699</v>
      </c>
    </row>
    <row r="45" spans="1:6" x14ac:dyDescent="0.35">
      <c r="A45" t="s">
        <v>40</v>
      </c>
      <c r="B45" t="s">
        <v>49</v>
      </c>
      <c r="C45" t="s">
        <v>62</v>
      </c>
      <c r="D45">
        <v>4.0833320272044303E-2</v>
      </c>
      <c r="E45">
        <v>0.140925650846046</v>
      </c>
      <c r="F45">
        <v>0.24505734285731401</v>
      </c>
    </row>
    <row r="46" spans="1:6" x14ac:dyDescent="0.35">
      <c r="A46" t="s">
        <v>58</v>
      </c>
      <c r="B46" t="s">
        <v>49</v>
      </c>
      <c r="C46" t="s">
        <v>62</v>
      </c>
      <c r="D46">
        <v>4.0787048159407598E-2</v>
      </c>
      <c r="E46">
        <v>0.14148670760075799</v>
      </c>
      <c r="F46">
        <v>0.245053054690517</v>
      </c>
    </row>
    <row r="47" spans="1:6" x14ac:dyDescent="0.35">
      <c r="A47" t="s">
        <v>16</v>
      </c>
      <c r="B47" t="s">
        <v>49</v>
      </c>
      <c r="C47" t="s">
        <v>62</v>
      </c>
      <c r="D47">
        <v>4.1456865722321698E-2</v>
      </c>
      <c r="E47">
        <v>0.140393759291254</v>
      </c>
      <c r="F47">
        <v>0.24506370248391099</v>
      </c>
    </row>
    <row r="48" spans="1:6" x14ac:dyDescent="0.35">
      <c r="A48" t="s">
        <v>41</v>
      </c>
      <c r="B48" t="s">
        <v>49</v>
      </c>
      <c r="C48" t="s">
        <v>62</v>
      </c>
      <c r="D48">
        <v>4.1453415836221599E-2</v>
      </c>
      <c r="E48">
        <v>0.14040456794717501</v>
      </c>
      <c r="F48">
        <v>0.245064119550231</v>
      </c>
    </row>
    <row r="49" spans="1:6" x14ac:dyDescent="0.35">
      <c r="A49" t="s">
        <v>42</v>
      </c>
      <c r="B49" t="s">
        <v>49</v>
      </c>
      <c r="C49" t="s">
        <v>62</v>
      </c>
      <c r="D49">
        <v>0.13904915029484899</v>
      </c>
      <c r="E49">
        <v>0.386911454156115</v>
      </c>
      <c r="F49">
        <v>0.68318059147913801</v>
      </c>
    </row>
    <row r="50" spans="1:6" x14ac:dyDescent="0.35">
      <c r="A50" t="s">
        <v>43</v>
      </c>
      <c r="B50" t="s">
        <v>45</v>
      </c>
      <c r="C50" t="s">
        <v>64</v>
      </c>
      <c r="D50">
        <v>5.5376499405338701E-4</v>
      </c>
      <c r="E50">
        <v>1.5675444224314201E-3</v>
      </c>
      <c r="F50">
        <v>2.7592100881690998E-3</v>
      </c>
    </row>
    <row r="51" spans="1:6" x14ac:dyDescent="0.35">
      <c r="A51" t="s">
        <v>40</v>
      </c>
      <c r="B51" t="s">
        <v>45</v>
      </c>
      <c r="C51" t="s">
        <v>64</v>
      </c>
      <c r="D51">
        <v>1.82414863568795E-4</v>
      </c>
      <c r="E51">
        <v>9.4711775251927197E-4</v>
      </c>
      <c r="F51">
        <v>1.22394752256336E-3</v>
      </c>
    </row>
    <row r="52" spans="1:6" x14ac:dyDescent="0.35">
      <c r="A52" t="s">
        <v>58</v>
      </c>
      <c r="B52" t="s">
        <v>45</v>
      </c>
      <c r="C52" t="s">
        <v>64</v>
      </c>
      <c r="D52">
        <v>0.250117713343676</v>
      </c>
      <c r="E52">
        <v>1.5741567529357801</v>
      </c>
      <c r="F52">
        <v>2.8632267143095902</v>
      </c>
    </row>
    <row r="53" spans="1:6" x14ac:dyDescent="0.35">
      <c r="A53" t="s">
        <v>16</v>
      </c>
      <c r="B53" t="s">
        <v>45</v>
      </c>
      <c r="C53" t="s">
        <v>64</v>
      </c>
      <c r="D53" s="10">
        <v>7.4497472269780495E-5</v>
      </c>
      <c r="E53">
        <v>3.65258340649205E-4</v>
      </c>
      <c r="F53">
        <v>4.7883756930836501E-4</v>
      </c>
    </row>
    <row r="54" spans="1:6" x14ac:dyDescent="0.35">
      <c r="A54" t="s">
        <v>41</v>
      </c>
      <c r="B54" t="s">
        <v>45</v>
      </c>
      <c r="C54" t="s">
        <v>64</v>
      </c>
      <c r="D54" s="10">
        <v>8.0158078411725396E-5</v>
      </c>
      <c r="E54">
        <v>3.0149357368290598E-4</v>
      </c>
      <c r="F54">
        <v>5.63382571350472E-4</v>
      </c>
    </row>
    <row r="55" spans="1:6" x14ac:dyDescent="0.35">
      <c r="A55" t="s">
        <v>42</v>
      </c>
      <c r="B55" t="s">
        <v>45</v>
      </c>
      <c r="C55" t="s">
        <v>64</v>
      </c>
      <c r="D55">
        <v>1.0708893831739E-4</v>
      </c>
      <c r="E55">
        <v>2.5131480007299601E-4</v>
      </c>
      <c r="F55">
        <v>4.22915047950317E-4</v>
      </c>
    </row>
    <row r="56" spans="1:6" x14ac:dyDescent="0.35">
      <c r="A56" t="s">
        <v>43</v>
      </c>
      <c r="B56" t="s">
        <v>45</v>
      </c>
      <c r="C56" t="s">
        <v>62</v>
      </c>
      <c r="D56">
        <v>0.23048247046100401</v>
      </c>
      <c r="E56">
        <v>1.5515994839971401</v>
      </c>
      <c r="F56">
        <v>2.9870621343039798</v>
      </c>
    </row>
    <row r="57" spans="1:6" x14ac:dyDescent="0.35">
      <c r="A57" t="s">
        <v>40</v>
      </c>
      <c r="B57" t="s">
        <v>45</v>
      </c>
      <c r="C57" t="s">
        <v>62</v>
      </c>
      <c r="D57">
        <v>6.6219476715996706E-2</v>
      </c>
      <c r="E57">
        <v>0.41891422090307801</v>
      </c>
      <c r="F57">
        <v>0.809559330529667</v>
      </c>
    </row>
    <row r="58" spans="1:6" x14ac:dyDescent="0.35">
      <c r="A58" t="s">
        <v>58</v>
      </c>
      <c r="B58" t="s">
        <v>45</v>
      </c>
      <c r="C58" t="s">
        <v>62</v>
      </c>
      <c r="D58">
        <v>0.217587732167494</v>
      </c>
      <c r="E58">
        <v>1.40379689424623</v>
      </c>
      <c r="F58">
        <v>2.72814040764188</v>
      </c>
    </row>
    <row r="59" spans="1:6" x14ac:dyDescent="0.35">
      <c r="A59" t="s">
        <v>16</v>
      </c>
      <c r="B59" t="s">
        <v>45</v>
      </c>
      <c r="C59" t="s">
        <v>62</v>
      </c>
      <c r="D59">
        <v>6.2147256965994498E-2</v>
      </c>
      <c r="E59">
        <v>0.75542110204059698</v>
      </c>
      <c r="F59">
        <v>1.3574724764266599</v>
      </c>
    </row>
    <row r="60" spans="1:6" x14ac:dyDescent="0.35">
      <c r="A60" t="s">
        <v>41</v>
      </c>
      <c r="B60" t="s">
        <v>45</v>
      </c>
      <c r="C60" t="s">
        <v>62</v>
      </c>
      <c r="D60">
        <v>5.0852103951725701E-2</v>
      </c>
      <c r="E60">
        <v>0.34232484116550099</v>
      </c>
      <c r="F60">
        <v>0.67448009802876696</v>
      </c>
    </row>
    <row r="61" spans="1:6" x14ac:dyDescent="0.35">
      <c r="A61" t="s">
        <v>42</v>
      </c>
      <c r="B61" t="s">
        <v>45</v>
      </c>
      <c r="C61" t="s">
        <v>62</v>
      </c>
      <c r="D61">
        <v>0.61338183564672499</v>
      </c>
      <c r="E61">
        <v>2.9628652746893702</v>
      </c>
      <c r="F61">
        <v>4.2693759980444002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TimeResults</vt:lpstr>
      <vt:lpstr>Sheet5</vt:lpstr>
      <vt:lpstr>Sheet4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Braden King</dc:creator>
  <cp:lastModifiedBy>Braden King</cp:lastModifiedBy>
  <dcterms:created xsi:type="dcterms:W3CDTF">2026-06-30T21:29:49Z</dcterms:created>
  <dcterms:modified xsi:type="dcterms:W3CDTF">2026-07-13T15:15:56Z</dcterms:modified>
</cp:coreProperties>
</file>